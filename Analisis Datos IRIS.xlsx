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Velas\Downloads\"/>
    </mc:Choice>
  </mc:AlternateContent>
  <xr:revisionPtr revIDLastSave="0" documentId="8_{A91F65D8-F10D-4663-9982-A7E1C152050E}" xr6:coauthVersionLast="47" xr6:coauthVersionMax="47" xr10:uidLastSave="{00000000-0000-0000-0000-000000000000}"/>
  <bookViews>
    <workbookView xWindow="-120" yWindow="-120" windowWidth="29040" windowHeight="15720" activeTab="2" xr2:uid="{252CC153-AFAF-4DEC-AAC1-A6AFB72F1BFF}"/>
  </bookViews>
  <sheets>
    <sheet name="iris" sheetId="2" r:id="rId1"/>
    <sheet name="Histogramas" sheetId="1" r:id="rId2"/>
    <sheet name="Cor" sheetId="4" r:id="rId3"/>
  </sheets>
  <definedNames>
    <definedName name="_xlchart.v1.0" hidden="1">iris!$B$1</definedName>
    <definedName name="_xlchart.v1.1" hidden="1">iris!$B$2:$B$151</definedName>
    <definedName name="_xlchart.v1.10" hidden="1">iris!$F$2:$F$151</definedName>
    <definedName name="_xlchart.v1.11" hidden="1">iris!$D$2:$D$151</definedName>
    <definedName name="_xlchart.v1.12" hidden="1">iris!$F$2:$F$151</definedName>
    <definedName name="_xlchart.v1.13" hidden="1">iris!$C$2:$C$151</definedName>
    <definedName name="_xlchart.v1.14" hidden="1">iris!$F$2:$F$151</definedName>
    <definedName name="_xlchart.v1.2" hidden="1">iris!$D$2:$D$151</definedName>
    <definedName name="_xlchart.v1.3" hidden="1">iris!$C$2:$C$151</definedName>
    <definedName name="_xlchart.v1.4" hidden="1">iris!$E$1:$E$151</definedName>
    <definedName name="_xlchart.v1.5" hidden="1">iris!$E$2:$E$151</definedName>
    <definedName name="_xlchart.v1.6" hidden="1">iris!$F$2:$F$151</definedName>
    <definedName name="_xlchart.v1.7" hidden="1">iris!$E$1</definedName>
    <definedName name="_xlchart.v1.8" hidden="1">iris!$E$2:$E$151</definedName>
    <definedName name="_xlchart.v1.9" hidden="1">iris!$B$2:$B$151</definedName>
    <definedName name="DatosExternos_1" localSheetId="0" hidden="1">iris!$A$1:$F$151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 r="D36" i="1"/>
  <c r="D37" i="1"/>
  <c r="D38" i="1"/>
  <c r="D39" i="1"/>
  <c r="D40" i="1"/>
  <c r="D42" i="1"/>
  <c r="D43" i="1"/>
  <c r="D59" i="1"/>
  <c r="D58" i="1"/>
  <c r="D57" i="1"/>
  <c r="D55" i="1"/>
  <c r="D54" i="1"/>
  <c r="D53" i="1"/>
  <c r="D52" i="1"/>
  <c r="D51" i="1"/>
  <c r="D50" i="1"/>
  <c r="D44" i="1"/>
  <c r="D20" i="1"/>
  <c r="D21" i="1"/>
  <c r="D22" i="1"/>
  <c r="D23" i="1"/>
  <c r="D24" i="1"/>
  <c r="D25" i="1"/>
  <c r="D27" i="1"/>
  <c r="D28" i="1"/>
  <c r="D29" i="1"/>
  <c r="D9" i="1"/>
  <c r="D14" i="1"/>
  <c r="D13" i="1"/>
  <c r="D12" i="1"/>
  <c r="D10" i="1"/>
  <c r="D8" i="1"/>
  <c r="D7" i="1"/>
  <c r="D6" i="1"/>
  <c r="D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507BC0-1E4F-4EEB-88AA-CBF1A14D3EAB}" keepAlive="1" name="Consulta - iris" description="Conexión a la consulta 'iris' en el libro." type="5" refreshedVersion="8" background="1" saveData="1">
    <dbPr connection="Provider=Microsoft.Mashup.OleDb.1;Data Source=$Workbook$;Location=iris;Extended Properties=&quot;&quot;" command="SELECT * FROM [iris]"/>
  </connection>
</connections>
</file>

<file path=xl/sharedStrings.xml><?xml version="1.0" encoding="utf-8"?>
<sst xmlns="http://schemas.openxmlformats.org/spreadsheetml/2006/main" count="208" uniqueCount="23">
  <si>
    <t>id</t>
  </si>
  <si>
    <t>Sepal.Length</t>
  </si>
  <si>
    <t>Sepal.Width</t>
  </si>
  <si>
    <t>Petal.Length</t>
  </si>
  <si>
    <t>Petal.Width</t>
  </si>
  <si>
    <t>Species</t>
  </si>
  <si>
    <t>setosa</t>
  </si>
  <si>
    <t>versicolor</t>
  </si>
  <si>
    <t>virginica</t>
  </si>
  <si>
    <t>MEDIDAS DE TENDENCIA CENTRAL</t>
  </si>
  <si>
    <t xml:space="preserve">Minimo </t>
  </si>
  <si>
    <t xml:space="preserve">Media </t>
  </si>
  <si>
    <t xml:space="preserve">Mediana </t>
  </si>
  <si>
    <t>Moda</t>
  </si>
  <si>
    <t>Maximo</t>
  </si>
  <si>
    <t>Desviacion estandar</t>
  </si>
  <si>
    <t xml:space="preserve">Q1 </t>
  </si>
  <si>
    <t>Q2</t>
  </si>
  <si>
    <t>Q3</t>
  </si>
  <si>
    <t>Columna 1</t>
  </si>
  <si>
    <t>Columna 2</t>
  </si>
  <si>
    <t>Columna 3</t>
  </si>
  <si>
    <t>Columna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</si>
</sst>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0"/>
      <name val="Aptos Narrow"/>
      <family val="2"/>
      <scheme val="minor"/>
    </font>
    <font>
      <i/>
      <sz val="11"/>
      <color theme="1"/>
      <name val="Aptos Narrow"/>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1">
    <xf numFmtId="0" fontId="0" fillId="0" borderId="0" xfId="0"/>
    <xf numFmtId="0" fontId="0" fillId="0" borderId="0" xfId="0" applyNumberFormat="1"/>
    <xf numFmtId="0" fontId="0" fillId="0" borderId="0" xfId="0" applyAlignment="1"/>
    <xf numFmtId="0" fontId="0" fillId="2" borderId="1" xfId="0" applyFont="1" applyFill="1" applyBorder="1"/>
    <xf numFmtId="0" fontId="0" fillId="3" borderId="1" xfId="0" applyFont="1" applyFill="1" applyBorder="1"/>
    <xf numFmtId="0" fontId="0" fillId="4" borderId="1" xfId="0" applyFont="1" applyFill="1" applyBorder="1"/>
    <xf numFmtId="0" fontId="1" fillId="5" borderId="1" xfId="0" applyFont="1" applyFill="1" applyBorder="1" applyAlignment="1">
      <alignment horizontal="center" vertical="center"/>
    </xf>
    <xf numFmtId="0" fontId="1" fillId="5" borderId="1" xfId="0" applyFont="1" applyFill="1" applyBorder="1"/>
    <xf numFmtId="0" fontId="0" fillId="0" borderId="0" xfId="0" applyFill="1" applyBorder="1"/>
    <xf numFmtId="0" fontId="0" fillId="0" borderId="0" xfId="0" applyFill="1" applyBorder="1" applyAlignment="1"/>
    <xf numFmtId="0" fontId="0" fillId="0" borderId="4" xfId="0" applyFill="1" applyBorder="1" applyAlignment="1"/>
    <xf numFmtId="0" fontId="2" fillId="0" borderId="5" xfId="0" applyFont="1" applyFill="1" applyBorder="1" applyAlignment="1">
      <alignment horizontal="center"/>
    </xf>
    <xf numFmtId="0" fontId="0" fillId="4" borderId="2" xfId="0" applyFont="1" applyFill="1" applyBorder="1" applyAlignment="1">
      <alignment horizontal="right" vertical="center" wrapText="1"/>
    </xf>
    <xf numFmtId="0" fontId="0" fillId="4" borderId="3" xfId="0" applyFont="1" applyFill="1" applyBorder="1" applyAlignment="1">
      <alignment horizontal="right" vertical="center"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2" borderId="2" xfId="0" applyFont="1" applyFill="1" applyBorder="1" applyAlignment="1">
      <alignment horizontal="right" vertical="center" wrapText="1"/>
    </xf>
    <xf numFmtId="0" fontId="0" fillId="2" borderId="3" xfId="0" applyFont="1" applyFill="1" applyBorder="1" applyAlignment="1">
      <alignment horizontal="right" vertical="center" wrapText="1"/>
    </xf>
    <xf numFmtId="0" fontId="0" fillId="3" borderId="2" xfId="0" applyFont="1" applyFill="1" applyBorder="1" applyAlignment="1">
      <alignment horizontal="right" vertical="center" wrapText="1"/>
    </xf>
    <xf numFmtId="0" fontId="0" fillId="3" borderId="3" xfId="0" applyFont="1" applyFill="1" applyBorder="1" applyAlignment="1">
      <alignment horizontal="right" vertical="center" wrapText="1"/>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Histograma Sepal.Length </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Histograma Sepal.Length </a:t>
          </a:r>
        </a:p>
      </cx:txPr>
    </cx:title>
    <cx:plotArea>
      <cx:plotAreaRegion>
        <cx:series layoutId="clusteredColumn" uniqueId="{84AB0C40-1544-4E11-9DF2-039543134619}">
          <cx:tx>
            <cx:txData>
              <cx:f>_xlchart.v1.0</cx:f>
              <cx:v>Sepal.Length</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Título Histograma Sepal.Width </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Título Histograma Sepal.Width </a:t>
          </a:r>
        </a:p>
      </cx:txPr>
    </cx:title>
    <cx:plotArea>
      <cx:plotAreaRegion>
        <cx:series layoutId="clusteredColumn" uniqueId="{E1B36DA9-D459-4948-B9E6-D9D91689C641}">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Histograma Petal.Length</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Histograma Petal.Length</a:t>
          </a:r>
        </a:p>
      </cx:txPr>
    </cx:title>
    <cx:plotArea>
      <cx:plotAreaRegion>
        <cx:series layoutId="clusteredColumn" uniqueId="{1F31252D-4C96-444D-8530-DB6E9211F7CB}">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_xlchart.v1.9</cx:f>
      </cx:numDim>
    </cx:data>
  </cx:chartData>
  <cx:chart>
    <cx:title pos="t" align="ctr" overlay="0">
      <cx:tx>
        <cx:txData>
          <cx:v>Boxplot Sepal.Length</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Boxplot Sepal.Length</a:t>
          </a:r>
        </a:p>
      </cx:txPr>
    </cx:title>
    <cx:plotArea>
      <cx:plotAreaRegion>
        <cx:series layoutId="boxWhisker" uniqueId="{EEC495C3-627E-4C4F-8D5B-F687979D4492}">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Boxplot Sepal.</a:t>
            </a:r>
            <a:r>
              <a:rPr lang="es-E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Width</a:t>
            </a:r>
            <a:endParaRPr lang="es-E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CFD7615B-8DDE-43C9-9FFC-0E1C2C69E3F1}">
          <cx:tx>
            <cx:txData>
              <cx:f>_xlchart.v1.14</cx:f>
              <cx:v>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setosa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versicolor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 virginica</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_xlchart.v1.11</cx:f>
      </cx:numDim>
    </cx:data>
  </cx:chartData>
  <cx:chart>
    <cx:title pos="t" align="ctr" overlay="0">
      <cx:tx>
        <cx:txData>
          <cx:v>Bloxpot Petal.Length</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Bloxpot Petal.Length</a:t>
          </a:r>
        </a:p>
      </cx:txPr>
    </cx:title>
    <cx:plotArea>
      <cx:plotAreaRegion>
        <cx:series layoutId="boxWhisker" uniqueId="{FE81ADC6-5B63-43E6-87B9-96EE1C716CEC}">
          <cx:tx>
            <cx:txData>
              <cx:f>_xlchart.v1.11</cx:f>
              <cx:v>1,4 1,4 1,3 1,5 1,4 1,7 1,4 1,5 1,4 1,5 1,5 1,6 1,4 1,1 1,2 1,5 1,3 1,4 1,7 1,5 1,7 1,5 1 1,7 1,9 1,6 1,6 1,5 1,4 1,6 1,6 1,5 1,5 1,4 1,5 1,2 1,3 1,4 1,3 1,5 1,3 1,3 1,3 1,6 1,9 1,4 1,6 1,4 1,5 1,4 4,7 4,5 4,9 4 4,6 4,5 4,7 3,3 4,6 3,9 3,5 4,2 4 4,7 3,6 4,4 4,5 4,1 4,5 3,9 4,8 4 4,9 4,7 4,3 4,4 4,8 5 4,5 3,5 3,8 3,7 3,9 5,1 4,5 4,5 4,7 4,4 4,1 4 4,4 4,6 4 3,3 4,2 4,2 4,2 4,3 3 4,1 6 5,1 5,9 5,6 5,8 6,6 4,5 6,3 5,8 6,1 5,1 5,3 5,5 5 5,1 5,3 5,5 6,7 6,9 5 5,7 4,9 6,7 4,9 5,7 6 4,8 4,9 5,6 5,8 6,1 6,4 5,6 5,1 5,6 6,1 5,6 5,5 4,8 5,4 5,6 5,1 5,1 5,9 5,7 5,2 5 5,2 5,4 5,1</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Histograma Petal.Width</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Histograma Petal.Width</a:t>
          </a:r>
        </a:p>
      </cx:txPr>
    </cx:title>
    <cx:plotArea>
      <cx:plotAreaRegion>
        <cx:series layoutId="clusteredColumn" uniqueId="{8A75C40E-3E84-4B67-80DF-EA949554EBC0}">
          <cx:tx>
            <cx:txData>
              <cx:f>_xlchart.v1.7</cx:f>
              <cx:v>Petal.Width</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_xlchart.v1.5</cx:f>
      </cx:numDim>
    </cx:data>
  </cx:chartData>
  <cx:chart>
    <cx:title pos="t" align="ctr" overlay="0">
      <cx:tx>
        <cx:txData>
          <cx:v>Bloxpot Petal.Width</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Bloxpot Petal.Width</a:t>
          </a:r>
        </a:p>
      </cx:txPr>
    </cx:title>
    <cx:plotArea>
      <cx:plotAreaRegion>
        <cx:series layoutId="boxWhisker" uniqueId="{949A40A6-31AA-45C6-B586-E8DA701D8909}">
          <cx:tx>
            <cx:txData>
              <cx:f>_xlchart.v1.4</cx:f>
              <cx:v>Petal.Width 0,2 0,2 0,2 0,2 0,2 0,4 0,3 0,2 0,2 0,1 0,2 0,2 0,1 0,1 0,2 0,4 0,4 0,3 0,3 0,3 0,2 0,4 0,2 0,5 0,2 0,2 0,4 0,2 0,2 0,2 0,2 0,4 0,1 0,2 0,2 0,2 0,2 0,1 0,2 0,2 0,3 0,3 0,2 0,6 0,4 0,3 0,2 0,2 0,2 0,2 1,4 1,5 1,5 1,3 1,5 1,3 1,6 1 1,3 1,4 1 1,5 1 1,4 1,3 1,4 1,5 1 1,5 1,1 1,8 1,3 1,5 1,2 1,3 1,4 1,4 1,7 1,5 1 1,1 1 1,2 1,6 1,5 1,6 1,5 1,3 1,3 1,3 1,2 1,4 1,2 1 1,3 1,2 1,3 1,3 1,1 1,3 2,5 1,9 2,1 1,8 2,2 2,1 1,7 1,8 1,8 2,5 2 1,9 2,1 2 2,4 2,3 1,8 2,2 2,3 1,5 2,3 2 2 1,8 2,1 1,8 1,8 1,8 2,1 1,6 1,9 2 2,2 1,5 1,4 2,3 2,4 1,8 1,8 2,1 2,4 2,3 1,9 2,3 2,5 2,3 1,9 2 2,3 1,8</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8.xml"/><Relationship Id="rId3" Type="http://schemas.microsoft.com/office/2014/relationships/chartEx" Target="../charts/chartEx3.xml"/><Relationship Id="rId7" Type="http://schemas.microsoft.com/office/2014/relationships/chartEx" Target="../charts/chartEx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6</xdr:col>
      <xdr:colOff>9525</xdr:colOff>
      <xdr:row>1</xdr:row>
      <xdr:rowOff>0</xdr:rowOff>
    </xdr:from>
    <xdr:to>
      <xdr:col>12</xdr:col>
      <xdr:colOff>9525</xdr:colOff>
      <xdr:row>15</xdr:row>
      <xdr:rowOff>76200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20F1E6A4-22F9-4665-B0F5-8EE8E61C68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81525" y="190500"/>
              <a:ext cx="45720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6</xdr:col>
      <xdr:colOff>0</xdr:colOff>
      <xdr:row>16</xdr:row>
      <xdr:rowOff>0</xdr:rowOff>
    </xdr:from>
    <xdr:to>
      <xdr:col>12</xdr:col>
      <xdr:colOff>0</xdr:colOff>
      <xdr:row>30</xdr:row>
      <xdr:rowOff>76200</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39C234F7-5479-4546-B732-2C90D708D4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72000" y="3048000"/>
              <a:ext cx="45720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6</xdr:col>
      <xdr:colOff>0</xdr:colOff>
      <xdr:row>30</xdr:row>
      <xdr:rowOff>171450</xdr:rowOff>
    </xdr:from>
    <xdr:to>
      <xdr:col>12</xdr:col>
      <xdr:colOff>0</xdr:colOff>
      <xdr:row>45</xdr:row>
      <xdr:rowOff>57150</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0A90AC4F-AB15-4C7E-8B93-57ACAC8464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572000" y="5886450"/>
              <a:ext cx="45720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12</xdr:col>
      <xdr:colOff>752475</xdr:colOff>
      <xdr:row>1</xdr:row>
      <xdr:rowOff>0</xdr:rowOff>
    </xdr:from>
    <xdr:to>
      <xdr:col>18</xdr:col>
      <xdr:colOff>752475</xdr:colOff>
      <xdr:row>15</xdr:row>
      <xdr:rowOff>76200</xdr:rowOff>
    </xdr:to>
    <mc:AlternateContent xmlns:mc="http://schemas.openxmlformats.org/markup-compatibility/2006">
      <mc:Choice xmlns:cx1="http://schemas.microsoft.com/office/drawing/2015/9/8/chartex" Requires="cx1">
        <xdr:graphicFrame macro="">
          <xdr:nvGraphicFramePr>
            <xdr:cNvPr id="6" name="Gráfico 5">
              <a:extLst>
                <a:ext uri="{FF2B5EF4-FFF2-40B4-BE49-F238E27FC236}">
                  <a16:creationId xmlns:a16="http://schemas.microsoft.com/office/drawing/2014/main" id="{6E822589-CE73-4D46-A37B-0CCD9A2736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896475" y="190500"/>
              <a:ext cx="45720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13</xdr:col>
      <xdr:colOff>9525</xdr:colOff>
      <xdr:row>16</xdr:row>
      <xdr:rowOff>9525</xdr:rowOff>
    </xdr:from>
    <xdr:to>
      <xdr:col>19</xdr:col>
      <xdr:colOff>9525</xdr:colOff>
      <xdr:row>30</xdr:row>
      <xdr:rowOff>85725</xdr:rowOff>
    </xdr:to>
    <mc:AlternateContent xmlns:mc="http://schemas.openxmlformats.org/markup-compatibility/2006">
      <mc:Choice xmlns:cx1="http://schemas.microsoft.com/office/drawing/2015/9/8/chartex" Requires="cx1">
        <xdr:graphicFrame macro="">
          <xdr:nvGraphicFramePr>
            <xdr:cNvPr id="7" name="Gráfico 6">
              <a:extLst>
                <a:ext uri="{FF2B5EF4-FFF2-40B4-BE49-F238E27FC236}">
                  <a16:creationId xmlns:a16="http://schemas.microsoft.com/office/drawing/2014/main" id="{D4941B83-1F0E-44BC-9B89-2EA38DD019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915525" y="3057525"/>
              <a:ext cx="45720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13</xdr:col>
      <xdr:colOff>0</xdr:colOff>
      <xdr:row>31</xdr:row>
      <xdr:rowOff>0</xdr:rowOff>
    </xdr:from>
    <xdr:to>
      <xdr:col>19</xdr:col>
      <xdr:colOff>0</xdr:colOff>
      <xdr:row>45</xdr:row>
      <xdr:rowOff>76200</xdr:rowOff>
    </xdr:to>
    <mc:AlternateContent xmlns:mc="http://schemas.openxmlformats.org/markup-compatibility/2006">
      <mc:Choice xmlns:cx1="http://schemas.microsoft.com/office/drawing/2015/9/8/chartex" Requires="cx1">
        <xdr:graphicFrame macro="">
          <xdr:nvGraphicFramePr>
            <xdr:cNvPr id="8" name="Gráfico 7">
              <a:extLst>
                <a:ext uri="{FF2B5EF4-FFF2-40B4-BE49-F238E27FC236}">
                  <a16:creationId xmlns:a16="http://schemas.microsoft.com/office/drawing/2014/main" id="{B41E1015-0409-4CD1-B9E7-FAD5747D20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906000" y="5905500"/>
              <a:ext cx="45720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6</xdr:col>
      <xdr:colOff>0</xdr:colOff>
      <xdr:row>46</xdr:row>
      <xdr:rowOff>0</xdr:rowOff>
    </xdr:from>
    <xdr:to>
      <xdr:col>12</xdr:col>
      <xdr:colOff>0</xdr:colOff>
      <xdr:row>60</xdr:row>
      <xdr:rowOff>76200</xdr:rowOff>
    </xdr:to>
    <mc:AlternateContent xmlns:mc="http://schemas.openxmlformats.org/markup-compatibility/2006">
      <mc:Choice xmlns:cx1="http://schemas.microsoft.com/office/drawing/2015/9/8/chartex" Requires="cx1">
        <xdr:graphicFrame macro="">
          <xdr:nvGraphicFramePr>
            <xdr:cNvPr id="9" name="Gráfico 8">
              <a:extLst>
                <a:ext uri="{FF2B5EF4-FFF2-40B4-BE49-F238E27FC236}">
                  <a16:creationId xmlns:a16="http://schemas.microsoft.com/office/drawing/2014/main" id="{83D6BEE2-F3E6-46AC-AEB6-364A65B182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572000" y="8763000"/>
              <a:ext cx="45720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13</xdr:col>
      <xdr:colOff>0</xdr:colOff>
      <xdr:row>46</xdr:row>
      <xdr:rowOff>0</xdr:rowOff>
    </xdr:from>
    <xdr:to>
      <xdr:col>19</xdr:col>
      <xdr:colOff>0</xdr:colOff>
      <xdr:row>60</xdr:row>
      <xdr:rowOff>76200</xdr:rowOff>
    </xdr:to>
    <mc:AlternateContent xmlns:mc="http://schemas.openxmlformats.org/markup-compatibility/2006">
      <mc:Choice xmlns:cx1="http://schemas.microsoft.com/office/drawing/2015/9/8/chartex" Requires="cx1">
        <xdr:graphicFrame macro="">
          <xdr:nvGraphicFramePr>
            <xdr:cNvPr id="10" name="Gráfico 9">
              <a:extLst>
                <a:ext uri="{FF2B5EF4-FFF2-40B4-BE49-F238E27FC236}">
                  <a16:creationId xmlns:a16="http://schemas.microsoft.com/office/drawing/2014/main" id="{60D56BD8-8E26-46B4-94A3-CD106A40BC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906000" y="8763000"/>
              <a:ext cx="45720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183F698-5CE2-4A94-9E8B-DDCA9FA6F9DD}" autoFormatId="16" applyNumberFormats="0" applyBorderFormats="0" applyFontFormats="0" applyPatternFormats="0" applyAlignmentFormats="0" applyWidthHeightFormats="0">
  <queryTableRefresh nextId="7">
    <queryTableFields count="6">
      <queryTableField id="1" name="id" tableColumnId="1"/>
      <queryTableField id="2" name="Sepal.Length" tableColumnId="2"/>
      <queryTableField id="3" name="Sepal.Width" tableColumnId="3"/>
      <queryTableField id="4" name="Petal.Length" tableColumnId="4"/>
      <queryTableField id="5" name="Petal.Width" tableColumnId="5"/>
      <queryTableField id="6" name="Specie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9C6B95-CD33-438A-BB0F-9237D5F03476}" name="iris" displayName="iris" ref="A1:F151" tableType="queryTable" totalsRowShown="0">
  <autoFilter ref="A1:F151" xr:uid="{8A9C6B95-CD33-438A-BB0F-9237D5F03476}"/>
  <tableColumns count="6">
    <tableColumn id="1" xr3:uid="{9B6BB70A-ED04-40A6-9FBB-BA527EF2B138}" uniqueName="1" name="id" queryTableFieldId="1"/>
    <tableColumn id="2" xr3:uid="{AAD62DB1-D34E-48D9-BF64-993D1A7B419D}" uniqueName="2" name="Sepal.Length" queryTableFieldId="2"/>
    <tableColumn id="3" xr3:uid="{02ECEE00-4F5B-4031-8A59-8E3556CD841A}" uniqueName="3" name="Sepal.Width" queryTableFieldId="3"/>
    <tableColumn id="4" xr3:uid="{788E0079-F364-4F95-8265-7AB85A244946}" uniqueName="4" name="Petal.Length" queryTableFieldId="4"/>
    <tableColumn id="5" xr3:uid="{5CC27299-F0ED-4166-BAA7-445D72E0EB83}" uniqueName="5" name="Petal.Width" queryTableFieldId="5"/>
    <tableColumn id="6" xr3:uid="{0BD30357-FE1F-4EDC-AF0D-8086EC1E3F5E}" uniqueName="6" name="Species" queryTableFieldId="6"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A7AA-4308-43A0-9EFF-555075E99E5D}">
  <dimension ref="A1:M151"/>
  <sheetViews>
    <sheetView topLeftCell="A43" zoomScaleNormal="100" workbookViewId="0">
      <selection activeCell="I19" sqref="I19"/>
    </sheetView>
  </sheetViews>
  <sheetFormatPr baseColWidth="10" defaultRowHeight="15" x14ac:dyDescent="0.25"/>
  <cols>
    <col min="1" max="1" width="5" bestFit="1" customWidth="1"/>
    <col min="2" max="2" width="15" bestFit="1" customWidth="1"/>
    <col min="3" max="3" width="14.28515625" bestFit="1" customWidth="1"/>
    <col min="4" max="4" width="14.5703125" bestFit="1" customWidth="1"/>
    <col min="5" max="5" width="13.85546875" bestFit="1" customWidth="1"/>
    <col min="6" max="6" width="10.42578125" bestFit="1" customWidth="1"/>
    <col min="10" max="10" width="13" customWidth="1"/>
    <col min="11" max="11" width="12.28515625" customWidth="1"/>
    <col min="12" max="12" width="12.140625" customWidth="1"/>
  </cols>
  <sheetData>
    <row r="1" spans="1:13" x14ac:dyDescent="0.25">
      <c r="A1" t="s">
        <v>0</v>
      </c>
      <c r="B1" t="s">
        <v>1</v>
      </c>
      <c r="C1" t="s">
        <v>2</v>
      </c>
      <c r="D1" t="s">
        <v>3</v>
      </c>
      <c r="E1" t="s">
        <v>4</v>
      </c>
      <c r="F1" t="s">
        <v>5</v>
      </c>
      <c r="M1" s="2"/>
    </row>
    <row r="2" spans="1:13" x14ac:dyDescent="0.25">
      <c r="A2">
        <v>1</v>
      </c>
      <c r="B2">
        <v>5.0999999999999996</v>
      </c>
      <c r="C2">
        <v>3.5</v>
      </c>
      <c r="D2">
        <v>1.4</v>
      </c>
      <c r="E2">
        <v>0.2</v>
      </c>
      <c r="F2" s="1" t="s">
        <v>6</v>
      </c>
    </row>
    <row r="3" spans="1:13" x14ac:dyDescent="0.25">
      <c r="A3">
        <v>2</v>
      </c>
      <c r="B3">
        <v>4.9000000000000004</v>
      </c>
      <c r="C3">
        <v>3</v>
      </c>
      <c r="D3">
        <v>1.4</v>
      </c>
      <c r="E3">
        <v>0.2</v>
      </c>
      <c r="F3" s="1" t="s">
        <v>6</v>
      </c>
    </row>
    <row r="4" spans="1:13" x14ac:dyDescent="0.25">
      <c r="A4">
        <v>3</v>
      </c>
      <c r="B4">
        <v>4.7</v>
      </c>
      <c r="C4">
        <v>3.2</v>
      </c>
      <c r="D4">
        <v>1.3</v>
      </c>
      <c r="E4">
        <v>0.2</v>
      </c>
      <c r="F4" s="1" t="s">
        <v>6</v>
      </c>
    </row>
    <row r="5" spans="1:13" x14ac:dyDescent="0.25">
      <c r="A5">
        <v>4</v>
      </c>
      <c r="B5">
        <v>4.5999999999999996</v>
      </c>
      <c r="C5">
        <v>3.1</v>
      </c>
      <c r="D5">
        <v>1.5</v>
      </c>
      <c r="E5">
        <v>0.2</v>
      </c>
      <c r="F5" s="1" t="s">
        <v>6</v>
      </c>
    </row>
    <row r="6" spans="1:13" x14ac:dyDescent="0.25">
      <c r="A6">
        <v>5</v>
      </c>
      <c r="B6">
        <v>5</v>
      </c>
      <c r="C6">
        <v>3.6</v>
      </c>
      <c r="D6">
        <v>1.4</v>
      </c>
      <c r="E6">
        <v>0.2</v>
      </c>
      <c r="F6" s="1" t="s">
        <v>6</v>
      </c>
    </row>
    <row r="7" spans="1:13" x14ac:dyDescent="0.25">
      <c r="A7">
        <v>6</v>
      </c>
      <c r="B7">
        <v>5.4</v>
      </c>
      <c r="C7">
        <v>3.9</v>
      </c>
      <c r="D7">
        <v>1.7</v>
      </c>
      <c r="E7">
        <v>0.4</v>
      </c>
      <c r="F7" s="1" t="s">
        <v>6</v>
      </c>
    </row>
    <row r="8" spans="1:13" ht="15" customHeight="1" x14ac:dyDescent="0.25">
      <c r="A8">
        <v>7</v>
      </c>
      <c r="B8">
        <v>4.5999999999999996</v>
      </c>
      <c r="C8">
        <v>3.4</v>
      </c>
      <c r="D8">
        <v>1.4</v>
      </c>
      <c r="E8">
        <v>0.3</v>
      </c>
      <c r="F8" s="1" t="s">
        <v>6</v>
      </c>
      <c r="H8" s="8"/>
    </row>
    <row r="9" spans="1:13" x14ac:dyDescent="0.25">
      <c r="A9">
        <v>8</v>
      </c>
      <c r="B9">
        <v>5</v>
      </c>
      <c r="C9">
        <v>3.4</v>
      </c>
      <c r="D9">
        <v>1.5</v>
      </c>
      <c r="E9">
        <v>0.2</v>
      </c>
      <c r="F9" s="1" t="s">
        <v>6</v>
      </c>
    </row>
    <row r="10" spans="1:13" ht="15" customHeight="1" x14ac:dyDescent="0.25">
      <c r="A10">
        <v>9</v>
      </c>
      <c r="B10">
        <v>4.4000000000000004</v>
      </c>
      <c r="C10">
        <v>2.9</v>
      </c>
      <c r="D10">
        <v>1.4</v>
      </c>
      <c r="E10">
        <v>0.2</v>
      </c>
      <c r="F10" s="1" t="s">
        <v>6</v>
      </c>
    </row>
    <row r="11" spans="1:13" x14ac:dyDescent="0.25">
      <c r="A11">
        <v>10</v>
      </c>
      <c r="B11">
        <v>4.9000000000000004</v>
      </c>
      <c r="C11">
        <v>3.1</v>
      </c>
      <c r="D11">
        <v>1.5</v>
      </c>
      <c r="E11">
        <v>0.1</v>
      </c>
      <c r="F11" s="1" t="s">
        <v>6</v>
      </c>
    </row>
    <row r="12" spans="1:13" x14ac:dyDescent="0.25">
      <c r="A12">
        <v>11</v>
      </c>
      <c r="B12">
        <v>5.4</v>
      </c>
      <c r="C12">
        <v>3.7</v>
      </c>
      <c r="D12">
        <v>1.5</v>
      </c>
      <c r="E12">
        <v>0.2</v>
      </c>
      <c r="F12" s="1" t="s">
        <v>6</v>
      </c>
    </row>
    <row r="13" spans="1:13" x14ac:dyDescent="0.25">
      <c r="A13">
        <v>12</v>
      </c>
      <c r="B13">
        <v>4.8</v>
      </c>
      <c r="C13">
        <v>3.4</v>
      </c>
      <c r="D13">
        <v>1.6</v>
      </c>
      <c r="E13">
        <v>0.2</v>
      </c>
      <c r="F13" s="1" t="s">
        <v>6</v>
      </c>
    </row>
    <row r="14" spans="1:13" ht="15" customHeight="1" x14ac:dyDescent="0.25">
      <c r="A14">
        <v>13</v>
      </c>
      <c r="B14">
        <v>4.8</v>
      </c>
      <c r="C14">
        <v>3</v>
      </c>
      <c r="D14">
        <v>1.4</v>
      </c>
      <c r="E14">
        <v>0.1</v>
      </c>
      <c r="F14" s="1" t="s">
        <v>6</v>
      </c>
    </row>
    <row r="15" spans="1:13" x14ac:dyDescent="0.25">
      <c r="A15">
        <v>14</v>
      </c>
      <c r="B15">
        <v>4.3</v>
      </c>
      <c r="C15">
        <v>3</v>
      </c>
      <c r="D15">
        <v>1.1000000000000001</v>
      </c>
      <c r="E15">
        <v>0.1</v>
      </c>
      <c r="F15" s="1" t="s">
        <v>6</v>
      </c>
    </row>
    <row r="16" spans="1:13" x14ac:dyDescent="0.25">
      <c r="A16">
        <v>15</v>
      </c>
      <c r="B16">
        <v>5.8</v>
      </c>
      <c r="C16">
        <v>4</v>
      </c>
      <c r="D16">
        <v>1.2</v>
      </c>
      <c r="E16">
        <v>0.2</v>
      </c>
      <c r="F16" s="1" t="s">
        <v>6</v>
      </c>
    </row>
    <row r="17" spans="1:6" x14ac:dyDescent="0.25">
      <c r="A17">
        <v>16</v>
      </c>
      <c r="B17">
        <v>5.7</v>
      </c>
      <c r="C17">
        <v>4.4000000000000004</v>
      </c>
      <c r="D17">
        <v>1.5</v>
      </c>
      <c r="E17">
        <v>0.4</v>
      </c>
      <c r="F17" s="1" t="s">
        <v>6</v>
      </c>
    </row>
    <row r="18" spans="1:6" x14ac:dyDescent="0.25">
      <c r="A18">
        <v>17</v>
      </c>
      <c r="B18">
        <v>5.4</v>
      </c>
      <c r="C18">
        <v>3.9</v>
      </c>
      <c r="D18">
        <v>1.3</v>
      </c>
      <c r="E18">
        <v>0.4</v>
      </c>
      <c r="F18" s="1" t="s">
        <v>6</v>
      </c>
    </row>
    <row r="19" spans="1:6" x14ac:dyDescent="0.25">
      <c r="A19">
        <v>18</v>
      </c>
      <c r="B19">
        <v>5.0999999999999996</v>
      </c>
      <c r="C19">
        <v>3.5</v>
      </c>
      <c r="D19">
        <v>1.4</v>
      </c>
      <c r="E19">
        <v>0.3</v>
      </c>
      <c r="F19" s="1" t="s">
        <v>6</v>
      </c>
    </row>
    <row r="20" spans="1:6" x14ac:dyDescent="0.25">
      <c r="A20">
        <v>19</v>
      </c>
      <c r="B20">
        <v>5.7</v>
      </c>
      <c r="C20">
        <v>3.8</v>
      </c>
      <c r="D20">
        <v>1.7</v>
      </c>
      <c r="E20">
        <v>0.3</v>
      </c>
      <c r="F20" s="1" t="s">
        <v>6</v>
      </c>
    </row>
    <row r="21" spans="1:6" x14ac:dyDescent="0.25">
      <c r="A21">
        <v>20</v>
      </c>
      <c r="B21">
        <v>5.0999999999999996</v>
      </c>
      <c r="C21">
        <v>3.8</v>
      </c>
      <c r="D21">
        <v>1.5</v>
      </c>
      <c r="E21">
        <v>0.3</v>
      </c>
      <c r="F21" s="1" t="s">
        <v>6</v>
      </c>
    </row>
    <row r="22" spans="1:6" x14ac:dyDescent="0.25">
      <c r="A22">
        <v>21</v>
      </c>
      <c r="B22">
        <v>5.4</v>
      </c>
      <c r="C22">
        <v>3.4</v>
      </c>
      <c r="D22">
        <v>1.7</v>
      </c>
      <c r="E22">
        <v>0.2</v>
      </c>
      <c r="F22" s="1" t="s">
        <v>6</v>
      </c>
    </row>
    <row r="23" spans="1:6" x14ac:dyDescent="0.25">
      <c r="A23">
        <v>22</v>
      </c>
      <c r="B23">
        <v>5.0999999999999996</v>
      </c>
      <c r="C23">
        <v>3.7</v>
      </c>
      <c r="D23">
        <v>1.5</v>
      </c>
      <c r="E23">
        <v>0.4</v>
      </c>
      <c r="F23" s="1" t="s">
        <v>6</v>
      </c>
    </row>
    <row r="24" spans="1:6" x14ac:dyDescent="0.25">
      <c r="A24">
        <v>23</v>
      </c>
      <c r="B24">
        <v>4.5999999999999996</v>
      </c>
      <c r="C24">
        <v>3.6</v>
      </c>
      <c r="D24">
        <v>1</v>
      </c>
      <c r="E24">
        <v>0.2</v>
      </c>
      <c r="F24" s="1" t="s">
        <v>6</v>
      </c>
    </row>
    <row r="25" spans="1:6" x14ac:dyDescent="0.25">
      <c r="A25">
        <v>24</v>
      </c>
      <c r="B25">
        <v>5.0999999999999996</v>
      </c>
      <c r="C25">
        <v>3.3</v>
      </c>
      <c r="D25">
        <v>1.7</v>
      </c>
      <c r="E25">
        <v>0.5</v>
      </c>
      <c r="F25" s="1" t="s">
        <v>6</v>
      </c>
    </row>
    <row r="26" spans="1:6" x14ac:dyDescent="0.25">
      <c r="A26">
        <v>25</v>
      </c>
      <c r="B26">
        <v>4.8</v>
      </c>
      <c r="C26">
        <v>3.4</v>
      </c>
      <c r="D26">
        <v>1.9</v>
      </c>
      <c r="E26">
        <v>0.2</v>
      </c>
      <c r="F26" s="1" t="s">
        <v>6</v>
      </c>
    </row>
    <row r="27" spans="1:6" x14ac:dyDescent="0.25">
      <c r="A27">
        <v>26</v>
      </c>
      <c r="B27">
        <v>5</v>
      </c>
      <c r="C27">
        <v>3</v>
      </c>
      <c r="D27">
        <v>1.6</v>
      </c>
      <c r="E27">
        <v>0.2</v>
      </c>
      <c r="F27" s="1" t="s">
        <v>6</v>
      </c>
    </row>
    <row r="28" spans="1:6" x14ac:dyDescent="0.25">
      <c r="A28">
        <v>27</v>
      </c>
      <c r="B28">
        <v>5</v>
      </c>
      <c r="C28">
        <v>3.4</v>
      </c>
      <c r="D28">
        <v>1.6</v>
      </c>
      <c r="E28">
        <v>0.4</v>
      </c>
      <c r="F28" s="1" t="s">
        <v>6</v>
      </c>
    </row>
    <row r="29" spans="1:6" x14ac:dyDescent="0.25">
      <c r="A29">
        <v>28</v>
      </c>
      <c r="B29">
        <v>5.2</v>
      </c>
      <c r="C29">
        <v>3.5</v>
      </c>
      <c r="D29">
        <v>1.5</v>
      </c>
      <c r="E29">
        <v>0.2</v>
      </c>
      <c r="F29" s="1" t="s">
        <v>6</v>
      </c>
    </row>
    <row r="30" spans="1:6" x14ac:dyDescent="0.25">
      <c r="A30">
        <v>29</v>
      </c>
      <c r="B30">
        <v>5.2</v>
      </c>
      <c r="C30">
        <v>3.4</v>
      </c>
      <c r="D30">
        <v>1.4</v>
      </c>
      <c r="E30">
        <v>0.2</v>
      </c>
      <c r="F30" s="1" t="s">
        <v>6</v>
      </c>
    </row>
    <row r="31" spans="1:6" x14ac:dyDescent="0.25">
      <c r="A31">
        <v>30</v>
      </c>
      <c r="B31">
        <v>4.7</v>
      </c>
      <c r="C31">
        <v>3.2</v>
      </c>
      <c r="D31">
        <v>1.6</v>
      </c>
      <c r="E31">
        <v>0.2</v>
      </c>
      <c r="F31" s="1" t="s">
        <v>6</v>
      </c>
    </row>
    <row r="32" spans="1:6" x14ac:dyDescent="0.25">
      <c r="A32">
        <v>31</v>
      </c>
      <c r="B32">
        <v>4.8</v>
      </c>
      <c r="C32">
        <v>3.1</v>
      </c>
      <c r="D32">
        <v>1.6</v>
      </c>
      <c r="E32">
        <v>0.2</v>
      </c>
      <c r="F32" s="1" t="s">
        <v>6</v>
      </c>
    </row>
    <row r="33" spans="1:6" x14ac:dyDescent="0.25">
      <c r="A33">
        <v>32</v>
      </c>
      <c r="B33">
        <v>5.4</v>
      </c>
      <c r="C33">
        <v>3.4</v>
      </c>
      <c r="D33">
        <v>1.5</v>
      </c>
      <c r="E33">
        <v>0.4</v>
      </c>
      <c r="F33" s="1" t="s">
        <v>6</v>
      </c>
    </row>
    <row r="34" spans="1:6" x14ac:dyDescent="0.25">
      <c r="A34">
        <v>33</v>
      </c>
      <c r="B34">
        <v>5.2</v>
      </c>
      <c r="C34">
        <v>4.0999999999999996</v>
      </c>
      <c r="D34">
        <v>1.5</v>
      </c>
      <c r="E34">
        <v>0.1</v>
      </c>
      <c r="F34" s="1" t="s">
        <v>6</v>
      </c>
    </row>
    <row r="35" spans="1:6" x14ac:dyDescent="0.25">
      <c r="A35">
        <v>34</v>
      </c>
      <c r="B35">
        <v>5.5</v>
      </c>
      <c r="C35">
        <v>4.2</v>
      </c>
      <c r="D35">
        <v>1.4</v>
      </c>
      <c r="E35">
        <v>0.2</v>
      </c>
      <c r="F35" s="1" t="s">
        <v>6</v>
      </c>
    </row>
    <row r="36" spans="1:6" x14ac:dyDescent="0.25">
      <c r="A36">
        <v>35</v>
      </c>
      <c r="B36">
        <v>4.9000000000000004</v>
      </c>
      <c r="C36">
        <v>3.1</v>
      </c>
      <c r="D36">
        <v>1.5</v>
      </c>
      <c r="E36">
        <v>0.2</v>
      </c>
      <c r="F36" s="1" t="s">
        <v>6</v>
      </c>
    </row>
    <row r="37" spans="1:6" x14ac:dyDescent="0.25">
      <c r="A37">
        <v>36</v>
      </c>
      <c r="B37">
        <v>5</v>
      </c>
      <c r="C37">
        <v>3.2</v>
      </c>
      <c r="D37">
        <v>1.2</v>
      </c>
      <c r="E37">
        <v>0.2</v>
      </c>
      <c r="F37" s="1" t="s">
        <v>6</v>
      </c>
    </row>
    <row r="38" spans="1:6" x14ac:dyDescent="0.25">
      <c r="A38">
        <v>37</v>
      </c>
      <c r="B38">
        <v>5.5</v>
      </c>
      <c r="C38">
        <v>3.5</v>
      </c>
      <c r="D38">
        <v>1.3</v>
      </c>
      <c r="E38">
        <v>0.2</v>
      </c>
      <c r="F38" s="1" t="s">
        <v>6</v>
      </c>
    </row>
    <row r="39" spans="1:6" x14ac:dyDescent="0.25">
      <c r="A39">
        <v>38</v>
      </c>
      <c r="B39">
        <v>4.9000000000000004</v>
      </c>
      <c r="C39">
        <v>3.6</v>
      </c>
      <c r="D39">
        <v>1.4</v>
      </c>
      <c r="E39">
        <v>0.1</v>
      </c>
      <c r="F39" s="1" t="s">
        <v>6</v>
      </c>
    </row>
    <row r="40" spans="1:6" x14ac:dyDescent="0.25">
      <c r="A40">
        <v>39</v>
      </c>
      <c r="B40">
        <v>4.4000000000000004</v>
      </c>
      <c r="C40">
        <v>3</v>
      </c>
      <c r="D40">
        <v>1.3</v>
      </c>
      <c r="E40">
        <v>0.2</v>
      </c>
      <c r="F40" s="1" t="s">
        <v>6</v>
      </c>
    </row>
    <row r="41" spans="1:6" x14ac:dyDescent="0.25">
      <c r="A41">
        <v>40</v>
      </c>
      <c r="B41">
        <v>5.0999999999999996</v>
      </c>
      <c r="C41">
        <v>3.4</v>
      </c>
      <c r="D41">
        <v>1.5</v>
      </c>
      <c r="E41">
        <v>0.2</v>
      </c>
      <c r="F41" s="1" t="s">
        <v>6</v>
      </c>
    </row>
    <row r="42" spans="1:6" x14ac:dyDescent="0.25">
      <c r="A42">
        <v>41</v>
      </c>
      <c r="B42">
        <v>5</v>
      </c>
      <c r="C42">
        <v>3.5</v>
      </c>
      <c r="D42">
        <v>1.3</v>
      </c>
      <c r="E42">
        <v>0.3</v>
      </c>
      <c r="F42" s="1" t="s">
        <v>6</v>
      </c>
    </row>
    <row r="43" spans="1:6" x14ac:dyDescent="0.25">
      <c r="A43">
        <v>42</v>
      </c>
      <c r="B43">
        <v>4.5</v>
      </c>
      <c r="C43">
        <v>2.2999999999999998</v>
      </c>
      <c r="D43">
        <v>1.3</v>
      </c>
      <c r="E43">
        <v>0.3</v>
      </c>
      <c r="F43" s="1" t="s">
        <v>6</v>
      </c>
    </row>
    <row r="44" spans="1:6" x14ac:dyDescent="0.25">
      <c r="A44">
        <v>43</v>
      </c>
      <c r="B44">
        <v>4.4000000000000004</v>
      </c>
      <c r="C44">
        <v>3.2</v>
      </c>
      <c r="D44">
        <v>1.3</v>
      </c>
      <c r="E44">
        <v>0.2</v>
      </c>
      <c r="F44" s="1" t="s">
        <v>6</v>
      </c>
    </row>
    <row r="45" spans="1:6" x14ac:dyDescent="0.25">
      <c r="A45">
        <v>44</v>
      </c>
      <c r="B45">
        <v>5</v>
      </c>
      <c r="C45">
        <v>3.5</v>
      </c>
      <c r="D45">
        <v>1.6</v>
      </c>
      <c r="E45">
        <v>0.6</v>
      </c>
      <c r="F45" s="1" t="s">
        <v>6</v>
      </c>
    </row>
    <row r="46" spans="1:6" x14ac:dyDescent="0.25">
      <c r="A46">
        <v>45</v>
      </c>
      <c r="B46">
        <v>5.0999999999999996</v>
      </c>
      <c r="C46">
        <v>3.8</v>
      </c>
      <c r="D46">
        <v>1.9</v>
      </c>
      <c r="E46">
        <v>0.4</v>
      </c>
      <c r="F46" s="1" t="s">
        <v>6</v>
      </c>
    </row>
    <row r="47" spans="1:6" x14ac:dyDescent="0.25">
      <c r="A47">
        <v>46</v>
      </c>
      <c r="B47">
        <v>4.8</v>
      </c>
      <c r="C47">
        <v>3</v>
      </c>
      <c r="D47">
        <v>1.4</v>
      </c>
      <c r="E47">
        <v>0.3</v>
      </c>
      <c r="F47" s="1" t="s">
        <v>6</v>
      </c>
    </row>
    <row r="48" spans="1:6" x14ac:dyDescent="0.25">
      <c r="A48">
        <v>47</v>
      </c>
      <c r="B48">
        <v>5.0999999999999996</v>
      </c>
      <c r="C48">
        <v>3.8</v>
      </c>
      <c r="D48">
        <v>1.6</v>
      </c>
      <c r="E48">
        <v>0.2</v>
      </c>
      <c r="F48" s="1" t="s">
        <v>6</v>
      </c>
    </row>
    <row r="49" spans="1:6" x14ac:dyDescent="0.25">
      <c r="A49">
        <v>48</v>
      </c>
      <c r="B49">
        <v>4.5999999999999996</v>
      </c>
      <c r="C49">
        <v>3.2</v>
      </c>
      <c r="D49">
        <v>1.4</v>
      </c>
      <c r="E49">
        <v>0.2</v>
      </c>
      <c r="F49" s="1" t="s">
        <v>6</v>
      </c>
    </row>
    <row r="50" spans="1:6" x14ac:dyDescent="0.25">
      <c r="A50">
        <v>49</v>
      </c>
      <c r="B50">
        <v>5.3</v>
      </c>
      <c r="C50">
        <v>3.7</v>
      </c>
      <c r="D50">
        <v>1.5</v>
      </c>
      <c r="E50">
        <v>0.2</v>
      </c>
      <c r="F50" s="1" t="s">
        <v>6</v>
      </c>
    </row>
    <row r="51" spans="1:6" x14ac:dyDescent="0.25">
      <c r="A51">
        <v>50</v>
      </c>
      <c r="B51">
        <v>5</v>
      </c>
      <c r="C51">
        <v>3.3</v>
      </c>
      <c r="D51">
        <v>1.4</v>
      </c>
      <c r="E51">
        <v>0.2</v>
      </c>
      <c r="F51" s="1" t="s">
        <v>6</v>
      </c>
    </row>
    <row r="52" spans="1:6" x14ac:dyDescent="0.25">
      <c r="A52">
        <v>51</v>
      </c>
      <c r="B52">
        <v>7</v>
      </c>
      <c r="C52">
        <v>3.2</v>
      </c>
      <c r="D52">
        <v>4.7</v>
      </c>
      <c r="E52">
        <v>1.4</v>
      </c>
      <c r="F52" s="1" t="s">
        <v>7</v>
      </c>
    </row>
    <row r="53" spans="1:6" x14ac:dyDescent="0.25">
      <c r="A53">
        <v>52</v>
      </c>
      <c r="B53">
        <v>6.4</v>
      </c>
      <c r="C53">
        <v>3.2</v>
      </c>
      <c r="D53">
        <v>4.5</v>
      </c>
      <c r="E53">
        <v>1.5</v>
      </c>
      <c r="F53" s="1" t="s">
        <v>7</v>
      </c>
    </row>
    <row r="54" spans="1:6" x14ac:dyDescent="0.25">
      <c r="A54">
        <v>53</v>
      </c>
      <c r="B54">
        <v>6.9</v>
      </c>
      <c r="C54">
        <v>3.1</v>
      </c>
      <c r="D54">
        <v>4.9000000000000004</v>
      </c>
      <c r="E54">
        <v>1.5</v>
      </c>
      <c r="F54" s="1" t="s">
        <v>7</v>
      </c>
    </row>
    <row r="55" spans="1:6" x14ac:dyDescent="0.25">
      <c r="A55">
        <v>54</v>
      </c>
      <c r="B55">
        <v>5.5</v>
      </c>
      <c r="C55">
        <v>2.2999999999999998</v>
      </c>
      <c r="D55">
        <v>4</v>
      </c>
      <c r="E55">
        <v>1.3</v>
      </c>
      <c r="F55" s="1" t="s">
        <v>7</v>
      </c>
    </row>
    <row r="56" spans="1:6" x14ac:dyDescent="0.25">
      <c r="A56">
        <v>55</v>
      </c>
      <c r="B56">
        <v>6.5</v>
      </c>
      <c r="C56">
        <v>2.8</v>
      </c>
      <c r="D56">
        <v>4.5999999999999996</v>
      </c>
      <c r="E56">
        <v>1.5</v>
      </c>
      <c r="F56" s="1" t="s">
        <v>7</v>
      </c>
    </row>
    <row r="57" spans="1:6" x14ac:dyDescent="0.25">
      <c r="A57">
        <v>56</v>
      </c>
      <c r="B57">
        <v>5.7</v>
      </c>
      <c r="C57">
        <v>2.8</v>
      </c>
      <c r="D57">
        <v>4.5</v>
      </c>
      <c r="E57">
        <v>1.3</v>
      </c>
      <c r="F57" s="1" t="s">
        <v>7</v>
      </c>
    </row>
    <row r="58" spans="1:6" x14ac:dyDescent="0.25">
      <c r="A58">
        <v>57</v>
      </c>
      <c r="B58">
        <v>6.3</v>
      </c>
      <c r="C58">
        <v>3.3</v>
      </c>
      <c r="D58">
        <v>4.7</v>
      </c>
      <c r="E58">
        <v>1.6</v>
      </c>
      <c r="F58" s="1" t="s">
        <v>7</v>
      </c>
    </row>
    <row r="59" spans="1:6" x14ac:dyDescent="0.25">
      <c r="A59">
        <v>58</v>
      </c>
      <c r="B59">
        <v>4.9000000000000004</v>
      </c>
      <c r="C59">
        <v>2.4</v>
      </c>
      <c r="D59">
        <v>3.3</v>
      </c>
      <c r="E59">
        <v>1</v>
      </c>
      <c r="F59" s="1" t="s">
        <v>7</v>
      </c>
    </row>
    <row r="60" spans="1:6" x14ac:dyDescent="0.25">
      <c r="A60">
        <v>59</v>
      </c>
      <c r="B60">
        <v>6.6</v>
      </c>
      <c r="C60">
        <v>2.9</v>
      </c>
      <c r="D60">
        <v>4.5999999999999996</v>
      </c>
      <c r="E60">
        <v>1.3</v>
      </c>
      <c r="F60" s="1" t="s">
        <v>7</v>
      </c>
    </row>
    <row r="61" spans="1:6" x14ac:dyDescent="0.25">
      <c r="A61">
        <v>60</v>
      </c>
      <c r="B61">
        <v>5.2</v>
      </c>
      <c r="C61">
        <v>2.7</v>
      </c>
      <c r="D61">
        <v>3.9</v>
      </c>
      <c r="E61">
        <v>1.4</v>
      </c>
      <c r="F61" s="1" t="s">
        <v>7</v>
      </c>
    </row>
    <row r="62" spans="1:6" x14ac:dyDescent="0.25">
      <c r="A62">
        <v>61</v>
      </c>
      <c r="B62">
        <v>5</v>
      </c>
      <c r="C62">
        <v>2</v>
      </c>
      <c r="D62">
        <v>3.5</v>
      </c>
      <c r="E62">
        <v>1</v>
      </c>
      <c r="F62" s="1" t="s">
        <v>7</v>
      </c>
    </row>
    <row r="63" spans="1:6" x14ac:dyDescent="0.25">
      <c r="A63">
        <v>62</v>
      </c>
      <c r="B63">
        <v>5.9</v>
      </c>
      <c r="C63">
        <v>3</v>
      </c>
      <c r="D63">
        <v>4.2</v>
      </c>
      <c r="E63">
        <v>1.5</v>
      </c>
      <c r="F63" s="1" t="s">
        <v>7</v>
      </c>
    </row>
    <row r="64" spans="1:6" x14ac:dyDescent="0.25">
      <c r="A64">
        <v>63</v>
      </c>
      <c r="B64">
        <v>6</v>
      </c>
      <c r="C64">
        <v>2.2000000000000002</v>
      </c>
      <c r="D64">
        <v>4</v>
      </c>
      <c r="E64">
        <v>1</v>
      </c>
      <c r="F64" s="1" t="s">
        <v>7</v>
      </c>
    </row>
    <row r="65" spans="1:6" x14ac:dyDescent="0.25">
      <c r="A65">
        <v>64</v>
      </c>
      <c r="B65">
        <v>6.1</v>
      </c>
      <c r="C65">
        <v>2.9</v>
      </c>
      <c r="D65">
        <v>4.7</v>
      </c>
      <c r="E65">
        <v>1.4</v>
      </c>
      <c r="F65" s="1" t="s">
        <v>7</v>
      </c>
    </row>
    <row r="66" spans="1:6" x14ac:dyDescent="0.25">
      <c r="A66">
        <v>65</v>
      </c>
      <c r="B66">
        <v>5.6</v>
      </c>
      <c r="C66">
        <v>2.9</v>
      </c>
      <c r="D66">
        <v>3.6</v>
      </c>
      <c r="E66">
        <v>1.3</v>
      </c>
      <c r="F66" s="1" t="s">
        <v>7</v>
      </c>
    </row>
    <row r="67" spans="1:6" x14ac:dyDescent="0.25">
      <c r="A67">
        <v>66</v>
      </c>
      <c r="B67">
        <v>6.7</v>
      </c>
      <c r="C67">
        <v>3.1</v>
      </c>
      <c r="D67">
        <v>4.4000000000000004</v>
      </c>
      <c r="E67">
        <v>1.4</v>
      </c>
      <c r="F67" s="1" t="s">
        <v>7</v>
      </c>
    </row>
    <row r="68" spans="1:6" x14ac:dyDescent="0.25">
      <c r="A68">
        <v>67</v>
      </c>
      <c r="B68">
        <v>5.6</v>
      </c>
      <c r="C68">
        <v>3</v>
      </c>
      <c r="D68">
        <v>4.5</v>
      </c>
      <c r="E68">
        <v>1.5</v>
      </c>
      <c r="F68" s="1" t="s">
        <v>7</v>
      </c>
    </row>
    <row r="69" spans="1:6" x14ac:dyDescent="0.25">
      <c r="A69">
        <v>68</v>
      </c>
      <c r="B69">
        <v>5.8</v>
      </c>
      <c r="C69">
        <v>2.7</v>
      </c>
      <c r="D69">
        <v>4.0999999999999996</v>
      </c>
      <c r="E69">
        <v>1</v>
      </c>
      <c r="F69" s="1" t="s">
        <v>7</v>
      </c>
    </row>
    <row r="70" spans="1:6" x14ac:dyDescent="0.25">
      <c r="A70">
        <v>69</v>
      </c>
      <c r="B70">
        <v>6.2</v>
      </c>
      <c r="C70">
        <v>2.2000000000000002</v>
      </c>
      <c r="D70">
        <v>4.5</v>
      </c>
      <c r="E70">
        <v>1.5</v>
      </c>
      <c r="F70" s="1" t="s">
        <v>7</v>
      </c>
    </row>
    <row r="71" spans="1:6" x14ac:dyDescent="0.25">
      <c r="A71">
        <v>70</v>
      </c>
      <c r="B71">
        <v>5.6</v>
      </c>
      <c r="C71">
        <v>2.5</v>
      </c>
      <c r="D71">
        <v>3.9</v>
      </c>
      <c r="E71">
        <v>1.1000000000000001</v>
      </c>
      <c r="F71" s="1" t="s">
        <v>7</v>
      </c>
    </row>
    <row r="72" spans="1:6" x14ac:dyDescent="0.25">
      <c r="A72">
        <v>71</v>
      </c>
      <c r="B72">
        <v>5.9</v>
      </c>
      <c r="C72">
        <v>3.2</v>
      </c>
      <c r="D72">
        <v>4.8</v>
      </c>
      <c r="E72">
        <v>1.8</v>
      </c>
      <c r="F72" s="1" t="s">
        <v>7</v>
      </c>
    </row>
    <row r="73" spans="1:6" x14ac:dyDescent="0.25">
      <c r="A73">
        <v>72</v>
      </c>
      <c r="B73">
        <v>6.1</v>
      </c>
      <c r="C73">
        <v>2.8</v>
      </c>
      <c r="D73">
        <v>4</v>
      </c>
      <c r="E73">
        <v>1.3</v>
      </c>
      <c r="F73" s="1" t="s">
        <v>7</v>
      </c>
    </row>
    <row r="74" spans="1:6" x14ac:dyDescent="0.25">
      <c r="A74">
        <v>73</v>
      </c>
      <c r="B74">
        <v>6.3</v>
      </c>
      <c r="C74">
        <v>2.5</v>
      </c>
      <c r="D74">
        <v>4.9000000000000004</v>
      </c>
      <c r="E74">
        <v>1.5</v>
      </c>
      <c r="F74" s="1" t="s">
        <v>7</v>
      </c>
    </row>
    <row r="75" spans="1:6" x14ac:dyDescent="0.25">
      <c r="A75">
        <v>74</v>
      </c>
      <c r="B75">
        <v>6.1</v>
      </c>
      <c r="C75">
        <v>2.8</v>
      </c>
      <c r="D75">
        <v>4.7</v>
      </c>
      <c r="E75">
        <v>1.2</v>
      </c>
      <c r="F75" s="1" t="s">
        <v>7</v>
      </c>
    </row>
    <row r="76" spans="1:6" x14ac:dyDescent="0.25">
      <c r="A76">
        <v>75</v>
      </c>
      <c r="B76">
        <v>6.4</v>
      </c>
      <c r="C76">
        <v>2.9</v>
      </c>
      <c r="D76">
        <v>4.3</v>
      </c>
      <c r="E76">
        <v>1.3</v>
      </c>
      <c r="F76" s="1" t="s">
        <v>7</v>
      </c>
    </row>
    <row r="77" spans="1:6" x14ac:dyDescent="0.25">
      <c r="A77">
        <v>76</v>
      </c>
      <c r="B77">
        <v>6.6</v>
      </c>
      <c r="C77">
        <v>3</v>
      </c>
      <c r="D77">
        <v>4.4000000000000004</v>
      </c>
      <c r="E77">
        <v>1.4</v>
      </c>
      <c r="F77" s="1" t="s">
        <v>7</v>
      </c>
    </row>
    <row r="78" spans="1:6" x14ac:dyDescent="0.25">
      <c r="A78">
        <v>77</v>
      </c>
      <c r="B78">
        <v>6.8</v>
      </c>
      <c r="C78">
        <v>2.8</v>
      </c>
      <c r="D78">
        <v>4.8</v>
      </c>
      <c r="E78">
        <v>1.4</v>
      </c>
      <c r="F78" s="1" t="s">
        <v>7</v>
      </c>
    </row>
    <row r="79" spans="1:6" x14ac:dyDescent="0.25">
      <c r="A79">
        <v>78</v>
      </c>
      <c r="B79">
        <v>6.7</v>
      </c>
      <c r="C79">
        <v>3</v>
      </c>
      <c r="D79">
        <v>5</v>
      </c>
      <c r="E79">
        <v>1.7</v>
      </c>
      <c r="F79" s="1" t="s">
        <v>7</v>
      </c>
    </row>
    <row r="80" spans="1:6" x14ac:dyDescent="0.25">
      <c r="A80">
        <v>79</v>
      </c>
      <c r="B80">
        <v>6</v>
      </c>
      <c r="C80">
        <v>2.9</v>
      </c>
      <c r="D80">
        <v>4.5</v>
      </c>
      <c r="E80">
        <v>1.5</v>
      </c>
      <c r="F80" s="1" t="s">
        <v>7</v>
      </c>
    </row>
    <row r="81" spans="1:6" x14ac:dyDescent="0.25">
      <c r="A81">
        <v>80</v>
      </c>
      <c r="B81">
        <v>5.7</v>
      </c>
      <c r="C81">
        <v>2.6</v>
      </c>
      <c r="D81">
        <v>3.5</v>
      </c>
      <c r="E81">
        <v>1</v>
      </c>
      <c r="F81" s="1" t="s">
        <v>7</v>
      </c>
    </row>
    <row r="82" spans="1:6" x14ac:dyDescent="0.25">
      <c r="A82">
        <v>81</v>
      </c>
      <c r="B82">
        <v>5.5</v>
      </c>
      <c r="C82">
        <v>2.4</v>
      </c>
      <c r="D82">
        <v>3.8</v>
      </c>
      <c r="E82">
        <v>1.1000000000000001</v>
      </c>
      <c r="F82" s="1" t="s">
        <v>7</v>
      </c>
    </row>
    <row r="83" spans="1:6" x14ac:dyDescent="0.25">
      <c r="A83">
        <v>82</v>
      </c>
      <c r="B83">
        <v>5.5</v>
      </c>
      <c r="C83">
        <v>2.4</v>
      </c>
      <c r="D83">
        <v>3.7</v>
      </c>
      <c r="E83">
        <v>1</v>
      </c>
      <c r="F83" s="1" t="s">
        <v>7</v>
      </c>
    </row>
    <row r="84" spans="1:6" x14ac:dyDescent="0.25">
      <c r="A84">
        <v>83</v>
      </c>
      <c r="B84">
        <v>5.8</v>
      </c>
      <c r="C84">
        <v>2.7</v>
      </c>
      <c r="D84">
        <v>3.9</v>
      </c>
      <c r="E84">
        <v>1.2</v>
      </c>
      <c r="F84" s="1" t="s">
        <v>7</v>
      </c>
    </row>
    <row r="85" spans="1:6" x14ac:dyDescent="0.25">
      <c r="A85">
        <v>84</v>
      </c>
      <c r="B85">
        <v>6</v>
      </c>
      <c r="C85">
        <v>2.7</v>
      </c>
      <c r="D85">
        <v>5.0999999999999996</v>
      </c>
      <c r="E85">
        <v>1.6</v>
      </c>
      <c r="F85" s="1" t="s">
        <v>7</v>
      </c>
    </row>
    <row r="86" spans="1:6" x14ac:dyDescent="0.25">
      <c r="A86">
        <v>85</v>
      </c>
      <c r="B86">
        <v>5.4</v>
      </c>
      <c r="C86">
        <v>3</v>
      </c>
      <c r="D86">
        <v>4.5</v>
      </c>
      <c r="E86">
        <v>1.5</v>
      </c>
      <c r="F86" s="1" t="s">
        <v>7</v>
      </c>
    </row>
    <row r="87" spans="1:6" x14ac:dyDescent="0.25">
      <c r="A87">
        <v>86</v>
      </c>
      <c r="B87">
        <v>6</v>
      </c>
      <c r="C87">
        <v>3.4</v>
      </c>
      <c r="D87">
        <v>4.5</v>
      </c>
      <c r="E87">
        <v>1.6</v>
      </c>
      <c r="F87" s="1" t="s">
        <v>7</v>
      </c>
    </row>
    <row r="88" spans="1:6" x14ac:dyDescent="0.25">
      <c r="A88">
        <v>87</v>
      </c>
      <c r="B88">
        <v>6.7</v>
      </c>
      <c r="C88">
        <v>3.1</v>
      </c>
      <c r="D88">
        <v>4.7</v>
      </c>
      <c r="E88">
        <v>1.5</v>
      </c>
      <c r="F88" s="1" t="s">
        <v>7</v>
      </c>
    </row>
    <row r="89" spans="1:6" x14ac:dyDescent="0.25">
      <c r="A89">
        <v>88</v>
      </c>
      <c r="B89">
        <v>6.3</v>
      </c>
      <c r="C89">
        <v>2.2999999999999998</v>
      </c>
      <c r="D89">
        <v>4.4000000000000004</v>
      </c>
      <c r="E89">
        <v>1.3</v>
      </c>
      <c r="F89" s="1" t="s">
        <v>7</v>
      </c>
    </row>
    <row r="90" spans="1:6" x14ac:dyDescent="0.25">
      <c r="A90">
        <v>89</v>
      </c>
      <c r="B90">
        <v>5.6</v>
      </c>
      <c r="C90">
        <v>3</v>
      </c>
      <c r="D90">
        <v>4.0999999999999996</v>
      </c>
      <c r="E90">
        <v>1.3</v>
      </c>
      <c r="F90" s="1" t="s">
        <v>7</v>
      </c>
    </row>
    <row r="91" spans="1:6" x14ac:dyDescent="0.25">
      <c r="A91">
        <v>90</v>
      </c>
      <c r="B91">
        <v>5.5</v>
      </c>
      <c r="C91">
        <v>2.5</v>
      </c>
      <c r="D91">
        <v>4</v>
      </c>
      <c r="E91">
        <v>1.3</v>
      </c>
      <c r="F91" s="1" t="s">
        <v>7</v>
      </c>
    </row>
    <row r="92" spans="1:6" x14ac:dyDescent="0.25">
      <c r="A92">
        <v>91</v>
      </c>
      <c r="B92">
        <v>5.5</v>
      </c>
      <c r="C92">
        <v>2.6</v>
      </c>
      <c r="D92">
        <v>4.4000000000000004</v>
      </c>
      <c r="E92">
        <v>1.2</v>
      </c>
      <c r="F92" s="1" t="s">
        <v>7</v>
      </c>
    </row>
    <row r="93" spans="1:6" x14ac:dyDescent="0.25">
      <c r="A93">
        <v>92</v>
      </c>
      <c r="B93">
        <v>6.1</v>
      </c>
      <c r="C93">
        <v>3</v>
      </c>
      <c r="D93">
        <v>4.5999999999999996</v>
      </c>
      <c r="E93">
        <v>1.4</v>
      </c>
      <c r="F93" s="1" t="s">
        <v>7</v>
      </c>
    </row>
    <row r="94" spans="1:6" x14ac:dyDescent="0.25">
      <c r="A94">
        <v>93</v>
      </c>
      <c r="B94">
        <v>5.8</v>
      </c>
      <c r="C94">
        <v>2.6</v>
      </c>
      <c r="D94">
        <v>4</v>
      </c>
      <c r="E94">
        <v>1.2</v>
      </c>
      <c r="F94" s="1" t="s">
        <v>7</v>
      </c>
    </row>
    <row r="95" spans="1:6" x14ac:dyDescent="0.25">
      <c r="A95">
        <v>94</v>
      </c>
      <c r="B95">
        <v>5</v>
      </c>
      <c r="C95">
        <v>2.2999999999999998</v>
      </c>
      <c r="D95">
        <v>3.3</v>
      </c>
      <c r="E95">
        <v>1</v>
      </c>
      <c r="F95" s="1" t="s">
        <v>7</v>
      </c>
    </row>
    <row r="96" spans="1:6" x14ac:dyDescent="0.25">
      <c r="A96">
        <v>95</v>
      </c>
      <c r="B96">
        <v>5.6</v>
      </c>
      <c r="C96">
        <v>2.7</v>
      </c>
      <c r="D96">
        <v>4.2</v>
      </c>
      <c r="E96">
        <v>1.3</v>
      </c>
      <c r="F96" s="1" t="s">
        <v>7</v>
      </c>
    </row>
    <row r="97" spans="1:6" x14ac:dyDescent="0.25">
      <c r="A97">
        <v>96</v>
      </c>
      <c r="B97">
        <v>5.7</v>
      </c>
      <c r="C97">
        <v>3</v>
      </c>
      <c r="D97">
        <v>4.2</v>
      </c>
      <c r="E97">
        <v>1.2</v>
      </c>
      <c r="F97" s="1" t="s">
        <v>7</v>
      </c>
    </row>
    <row r="98" spans="1:6" x14ac:dyDescent="0.25">
      <c r="A98">
        <v>97</v>
      </c>
      <c r="B98">
        <v>5.7</v>
      </c>
      <c r="C98">
        <v>2.9</v>
      </c>
      <c r="D98">
        <v>4.2</v>
      </c>
      <c r="E98">
        <v>1.3</v>
      </c>
      <c r="F98" s="1" t="s">
        <v>7</v>
      </c>
    </row>
    <row r="99" spans="1:6" x14ac:dyDescent="0.25">
      <c r="A99">
        <v>98</v>
      </c>
      <c r="B99">
        <v>6.2</v>
      </c>
      <c r="C99">
        <v>2.9</v>
      </c>
      <c r="D99">
        <v>4.3</v>
      </c>
      <c r="E99">
        <v>1.3</v>
      </c>
      <c r="F99" s="1" t="s">
        <v>7</v>
      </c>
    </row>
    <row r="100" spans="1:6" x14ac:dyDescent="0.25">
      <c r="A100">
        <v>99</v>
      </c>
      <c r="B100">
        <v>5.0999999999999996</v>
      </c>
      <c r="C100">
        <v>2.5</v>
      </c>
      <c r="D100">
        <v>3</v>
      </c>
      <c r="E100">
        <v>1.1000000000000001</v>
      </c>
      <c r="F100" s="1" t="s">
        <v>7</v>
      </c>
    </row>
    <row r="101" spans="1:6" x14ac:dyDescent="0.25">
      <c r="A101">
        <v>100</v>
      </c>
      <c r="B101">
        <v>5.7</v>
      </c>
      <c r="C101">
        <v>2.8</v>
      </c>
      <c r="D101">
        <v>4.0999999999999996</v>
      </c>
      <c r="E101">
        <v>1.3</v>
      </c>
      <c r="F101" s="1" t="s">
        <v>7</v>
      </c>
    </row>
    <row r="102" spans="1:6" x14ac:dyDescent="0.25">
      <c r="A102">
        <v>101</v>
      </c>
      <c r="B102">
        <v>6.3</v>
      </c>
      <c r="C102">
        <v>3.3</v>
      </c>
      <c r="D102">
        <v>6</v>
      </c>
      <c r="E102">
        <v>2.5</v>
      </c>
      <c r="F102" s="1" t="s">
        <v>8</v>
      </c>
    </row>
    <row r="103" spans="1:6" x14ac:dyDescent="0.25">
      <c r="A103">
        <v>102</v>
      </c>
      <c r="B103">
        <v>5.8</v>
      </c>
      <c r="C103">
        <v>2.7</v>
      </c>
      <c r="D103">
        <v>5.0999999999999996</v>
      </c>
      <c r="E103">
        <v>1.9</v>
      </c>
      <c r="F103" s="1" t="s">
        <v>8</v>
      </c>
    </row>
    <row r="104" spans="1:6" x14ac:dyDescent="0.25">
      <c r="A104">
        <v>103</v>
      </c>
      <c r="B104">
        <v>7.1</v>
      </c>
      <c r="C104">
        <v>3</v>
      </c>
      <c r="D104">
        <v>5.9</v>
      </c>
      <c r="E104">
        <v>2.1</v>
      </c>
      <c r="F104" s="1" t="s">
        <v>8</v>
      </c>
    </row>
    <row r="105" spans="1:6" x14ac:dyDescent="0.25">
      <c r="A105">
        <v>104</v>
      </c>
      <c r="B105">
        <v>6.3</v>
      </c>
      <c r="C105">
        <v>2.9</v>
      </c>
      <c r="D105">
        <v>5.6</v>
      </c>
      <c r="E105">
        <v>1.8</v>
      </c>
      <c r="F105" s="1" t="s">
        <v>8</v>
      </c>
    </row>
    <row r="106" spans="1:6" x14ac:dyDescent="0.25">
      <c r="A106">
        <v>105</v>
      </c>
      <c r="B106">
        <v>6.5</v>
      </c>
      <c r="C106">
        <v>3</v>
      </c>
      <c r="D106">
        <v>5.8</v>
      </c>
      <c r="E106">
        <v>2.2000000000000002</v>
      </c>
      <c r="F106" s="1" t="s">
        <v>8</v>
      </c>
    </row>
    <row r="107" spans="1:6" x14ac:dyDescent="0.25">
      <c r="A107">
        <v>106</v>
      </c>
      <c r="B107">
        <v>7.6</v>
      </c>
      <c r="C107">
        <v>3</v>
      </c>
      <c r="D107">
        <v>6.6</v>
      </c>
      <c r="E107">
        <v>2.1</v>
      </c>
      <c r="F107" s="1" t="s">
        <v>8</v>
      </c>
    </row>
    <row r="108" spans="1:6" x14ac:dyDescent="0.25">
      <c r="A108">
        <v>107</v>
      </c>
      <c r="B108">
        <v>4.9000000000000004</v>
      </c>
      <c r="C108">
        <v>2.5</v>
      </c>
      <c r="D108">
        <v>4.5</v>
      </c>
      <c r="E108">
        <v>1.7</v>
      </c>
      <c r="F108" s="1" t="s">
        <v>8</v>
      </c>
    </row>
    <row r="109" spans="1:6" x14ac:dyDescent="0.25">
      <c r="A109">
        <v>108</v>
      </c>
      <c r="B109">
        <v>7.3</v>
      </c>
      <c r="C109">
        <v>2.9</v>
      </c>
      <c r="D109">
        <v>6.3</v>
      </c>
      <c r="E109">
        <v>1.8</v>
      </c>
      <c r="F109" s="1" t="s">
        <v>8</v>
      </c>
    </row>
    <row r="110" spans="1:6" x14ac:dyDescent="0.25">
      <c r="A110">
        <v>109</v>
      </c>
      <c r="B110">
        <v>6.7</v>
      </c>
      <c r="C110">
        <v>2.5</v>
      </c>
      <c r="D110">
        <v>5.8</v>
      </c>
      <c r="E110">
        <v>1.8</v>
      </c>
      <c r="F110" s="1" t="s">
        <v>8</v>
      </c>
    </row>
    <row r="111" spans="1:6" x14ac:dyDescent="0.25">
      <c r="A111">
        <v>110</v>
      </c>
      <c r="B111">
        <v>7.2</v>
      </c>
      <c r="C111">
        <v>3.6</v>
      </c>
      <c r="D111">
        <v>6.1</v>
      </c>
      <c r="E111">
        <v>2.5</v>
      </c>
      <c r="F111" s="1" t="s">
        <v>8</v>
      </c>
    </row>
    <row r="112" spans="1:6" x14ac:dyDescent="0.25">
      <c r="A112">
        <v>111</v>
      </c>
      <c r="B112">
        <v>6.5</v>
      </c>
      <c r="C112">
        <v>3.2</v>
      </c>
      <c r="D112">
        <v>5.0999999999999996</v>
      </c>
      <c r="E112">
        <v>2</v>
      </c>
      <c r="F112" s="1" t="s">
        <v>8</v>
      </c>
    </row>
    <row r="113" spans="1:6" x14ac:dyDescent="0.25">
      <c r="A113">
        <v>112</v>
      </c>
      <c r="B113">
        <v>6.4</v>
      </c>
      <c r="C113">
        <v>2.7</v>
      </c>
      <c r="D113">
        <v>5.3</v>
      </c>
      <c r="E113">
        <v>1.9</v>
      </c>
      <c r="F113" s="1" t="s">
        <v>8</v>
      </c>
    </row>
    <row r="114" spans="1:6" x14ac:dyDescent="0.25">
      <c r="A114">
        <v>113</v>
      </c>
      <c r="B114">
        <v>6.8</v>
      </c>
      <c r="C114">
        <v>3</v>
      </c>
      <c r="D114">
        <v>5.5</v>
      </c>
      <c r="E114">
        <v>2.1</v>
      </c>
      <c r="F114" s="1" t="s">
        <v>8</v>
      </c>
    </row>
    <row r="115" spans="1:6" x14ac:dyDescent="0.25">
      <c r="A115">
        <v>114</v>
      </c>
      <c r="B115">
        <v>5.7</v>
      </c>
      <c r="C115">
        <v>2.5</v>
      </c>
      <c r="D115">
        <v>5</v>
      </c>
      <c r="E115">
        <v>2</v>
      </c>
      <c r="F115" s="1" t="s">
        <v>8</v>
      </c>
    </row>
    <row r="116" spans="1:6" x14ac:dyDescent="0.25">
      <c r="A116">
        <v>115</v>
      </c>
      <c r="B116">
        <v>5.8</v>
      </c>
      <c r="C116">
        <v>2.8</v>
      </c>
      <c r="D116">
        <v>5.0999999999999996</v>
      </c>
      <c r="E116">
        <v>2.4</v>
      </c>
      <c r="F116" s="1" t="s">
        <v>8</v>
      </c>
    </row>
    <row r="117" spans="1:6" x14ac:dyDescent="0.25">
      <c r="A117">
        <v>116</v>
      </c>
      <c r="B117">
        <v>6.4</v>
      </c>
      <c r="C117">
        <v>3.2</v>
      </c>
      <c r="D117">
        <v>5.3</v>
      </c>
      <c r="E117">
        <v>2.2999999999999998</v>
      </c>
      <c r="F117" s="1" t="s">
        <v>8</v>
      </c>
    </row>
    <row r="118" spans="1:6" x14ac:dyDescent="0.25">
      <c r="A118">
        <v>117</v>
      </c>
      <c r="B118">
        <v>6.5</v>
      </c>
      <c r="C118">
        <v>3</v>
      </c>
      <c r="D118">
        <v>5.5</v>
      </c>
      <c r="E118">
        <v>1.8</v>
      </c>
      <c r="F118" s="1" t="s">
        <v>8</v>
      </c>
    </row>
    <row r="119" spans="1:6" x14ac:dyDescent="0.25">
      <c r="A119">
        <v>118</v>
      </c>
      <c r="B119">
        <v>7.7</v>
      </c>
      <c r="C119">
        <v>3.8</v>
      </c>
      <c r="D119">
        <v>6.7</v>
      </c>
      <c r="E119">
        <v>2.2000000000000002</v>
      </c>
      <c r="F119" s="1" t="s">
        <v>8</v>
      </c>
    </row>
    <row r="120" spans="1:6" x14ac:dyDescent="0.25">
      <c r="A120">
        <v>119</v>
      </c>
      <c r="B120">
        <v>7.7</v>
      </c>
      <c r="C120">
        <v>2.6</v>
      </c>
      <c r="D120">
        <v>6.9</v>
      </c>
      <c r="E120">
        <v>2.2999999999999998</v>
      </c>
      <c r="F120" s="1" t="s">
        <v>8</v>
      </c>
    </row>
    <row r="121" spans="1:6" x14ac:dyDescent="0.25">
      <c r="A121">
        <v>120</v>
      </c>
      <c r="B121">
        <v>6</v>
      </c>
      <c r="C121">
        <v>2.2000000000000002</v>
      </c>
      <c r="D121">
        <v>5</v>
      </c>
      <c r="E121">
        <v>1.5</v>
      </c>
      <c r="F121" s="1" t="s">
        <v>8</v>
      </c>
    </row>
    <row r="122" spans="1:6" x14ac:dyDescent="0.25">
      <c r="A122">
        <v>121</v>
      </c>
      <c r="B122">
        <v>6.9</v>
      </c>
      <c r="C122">
        <v>3.2</v>
      </c>
      <c r="D122">
        <v>5.7</v>
      </c>
      <c r="E122">
        <v>2.2999999999999998</v>
      </c>
      <c r="F122" s="1" t="s">
        <v>8</v>
      </c>
    </row>
    <row r="123" spans="1:6" x14ac:dyDescent="0.25">
      <c r="A123">
        <v>122</v>
      </c>
      <c r="B123">
        <v>5.6</v>
      </c>
      <c r="C123">
        <v>2.8</v>
      </c>
      <c r="D123">
        <v>4.9000000000000004</v>
      </c>
      <c r="E123">
        <v>2</v>
      </c>
      <c r="F123" s="1" t="s">
        <v>8</v>
      </c>
    </row>
    <row r="124" spans="1:6" x14ac:dyDescent="0.25">
      <c r="A124">
        <v>123</v>
      </c>
      <c r="B124">
        <v>7.7</v>
      </c>
      <c r="C124">
        <v>2.8</v>
      </c>
      <c r="D124">
        <v>6.7</v>
      </c>
      <c r="E124">
        <v>2</v>
      </c>
      <c r="F124" s="1" t="s">
        <v>8</v>
      </c>
    </row>
    <row r="125" spans="1:6" x14ac:dyDescent="0.25">
      <c r="A125">
        <v>124</v>
      </c>
      <c r="B125">
        <v>6.3</v>
      </c>
      <c r="C125">
        <v>2.7</v>
      </c>
      <c r="D125">
        <v>4.9000000000000004</v>
      </c>
      <c r="E125">
        <v>1.8</v>
      </c>
      <c r="F125" s="1" t="s">
        <v>8</v>
      </c>
    </row>
    <row r="126" spans="1:6" x14ac:dyDescent="0.25">
      <c r="A126">
        <v>125</v>
      </c>
      <c r="B126">
        <v>6.7</v>
      </c>
      <c r="C126">
        <v>3.3</v>
      </c>
      <c r="D126">
        <v>5.7</v>
      </c>
      <c r="E126">
        <v>2.1</v>
      </c>
      <c r="F126" s="1" t="s">
        <v>8</v>
      </c>
    </row>
    <row r="127" spans="1:6" x14ac:dyDescent="0.25">
      <c r="A127">
        <v>126</v>
      </c>
      <c r="B127">
        <v>7.2</v>
      </c>
      <c r="C127">
        <v>3.2</v>
      </c>
      <c r="D127">
        <v>6</v>
      </c>
      <c r="E127">
        <v>1.8</v>
      </c>
      <c r="F127" s="1" t="s">
        <v>8</v>
      </c>
    </row>
    <row r="128" spans="1:6" x14ac:dyDescent="0.25">
      <c r="A128">
        <v>127</v>
      </c>
      <c r="B128">
        <v>6.2</v>
      </c>
      <c r="C128">
        <v>2.8</v>
      </c>
      <c r="D128">
        <v>4.8</v>
      </c>
      <c r="E128">
        <v>1.8</v>
      </c>
      <c r="F128" s="1" t="s">
        <v>8</v>
      </c>
    </row>
    <row r="129" spans="1:6" x14ac:dyDescent="0.25">
      <c r="A129">
        <v>128</v>
      </c>
      <c r="B129">
        <v>6.1</v>
      </c>
      <c r="C129">
        <v>3</v>
      </c>
      <c r="D129">
        <v>4.9000000000000004</v>
      </c>
      <c r="E129">
        <v>1.8</v>
      </c>
      <c r="F129" s="1" t="s">
        <v>8</v>
      </c>
    </row>
    <row r="130" spans="1:6" x14ac:dyDescent="0.25">
      <c r="A130">
        <v>129</v>
      </c>
      <c r="B130">
        <v>6.4</v>
      </c>
      <c r="C130">
        <v>2.8</v>
      </c>
      <c r="D130">
        <v>5.6</v>
      </c>
      <c r="E130">
        <v>2.1</v>
      </c>
      <c r="F130" s="1" t="s">
        <v>8</v>
      </c>
    </row>
    <row r="131" spans="1:6" x14ac:dyDescent="0.25">
      <c r="A131">
        <v>130</v>
      </c>
      <c r="B131">
        <v>7.2</v>
      </c>
      <c r="C131">
        <v>3</v>
      </c>
      <c r="D131">
        <v>5.8</v>
      </c>
      <c r="E131">
        <v>1.6</v>
      </c>
      <c r="F131" s="1" t="s">
        <v>8</v>
      </c>
    </row>
    <row r="132" spans="1:6" x14ac:dyDescent="0.25">
      <c r="A132">
        <v>131</v>
      </c>
      <c r="B132">
        <v>7.4</v>
      </c>
      <c r="C132">
        <v>2.8</v>
      </c>
      <c r="D132">
        <v>6.1</v>
      </c>
      <c r="E132">
        <v>1.9</v>
      </c>
      <c r="F132" s="1" t="s">
        <v>8</v>
      </c>
    </row>
    <row r="133" spans="1:6" x14ac:dyDescent="0.25">
      <c r="A133">
        <v>132</v>
      </c>
      <c r="B133">
        <v>7.9</v>
      </c>
      <c r="C133">
        <v>3.8</v>
      </c>
      <c r="D133">
        <v>6.4</v>
      </c>
      <c r="E133">
        <v>2</v>
      </c>
      <c r="F133" s="1" t="s">
        <v>8</v>
      </c>
    </row>
    <row r="134" spans="1:6" x14ac:dyDescent="0.25">
      <c r="A134">
        <v>133</v>
      </c>
      <c r="B134">
        <v>6.4</v>
      </c>
      <c r="C134">
        <v>2.8</v>
      </c>
      <c r="D134">
        <v>5.6</v>
      </c>
      <c r="E134">
        <v>2.2000000000000002</v>
      </c>
      <c r="F134" s="1" t="s">
        <v>8</v>
      </c>
    </row>
    <row r="135" spans="1:6" x14ac:dyDescent="0.25">
      <c r="A135">
        <v>134</v>
      </c>
      <c r="B135">
        <v>6.3</v>
      </c>
      <c r="C135">
        <v>2.8</v>
      </c>
      <c r="D135">
        <v>5.0999999999999996</v>
      </c>
      <c r="E135">
        <v>1.5</v>
      </c>
      <c r="F135" s="1" t="s">
        <v>8</v>
      </c>
    </row>
    <row r="136" spans="1:6" x14ac:dyDescent="0.25">
      <c r="A136">
        <v>135</v>
      </c>
      <c r="B136">
        <v>6.1</v>
      </c>
      <c r="C136">
        <v>2.6</v>
      </c>
      <c r="D136">
        <v>5.6</v>
      </c>
      <c r="E136">
        <v>1.4</v>
      </c>
      <c r="F136" s="1" t="s">
        <v>8</v>
      </c>
    </row>
    <row r="137" spans="1:6" x14ac:dyDescent="0.25">
      <c r="A137">
        <v>136</v>
      </c>
      <c r="B137">
        <v>7.7</v>
      </c>
      <c r="C137">
        <v>3</v>
      </c>
      <c r="D137">
        <v>6.1</v>
      </c>
      <c r="E137">
        <v>2.2999999999999998</v>
      </c>
      <c r="F137" s="1" t="s">
        <v>8</v>
      </c>
    </row>
    <row r="138" spans="1:6" x14ac:dyDescent="0.25">
      <c r="A138">
        <v>137</v>
      </c>
      <c r="B138">
        <v>6.3</v>
      </c>
      <c r="C138">
        <v>3.4</v>
      </c>
      <c r="D138">
        <v>5.6</v>
      </c>
      <c r="E138">
        <v>2.4</v>
      </c>
      <c r="F138" s="1" t="s">
        <v>8</v>
      </c>
    </row>
    <row r="139" spans="1:6" x14ac:dyDescent="0.25">
      <c r="A139">
        <v>138</v>
      </c>
      <c r="B139">
        <v>6.4</v>
      </c>
      <c r="C139">
        <v>3.1</v>
      </c>
      <c r="D139">
        <v>5.5</v>
      </c>
      <c r="E139">
        <v>1.8</v>
      </c>
      <c r="F139" s="1" t="s">
        <v>8</v>
      </c>
    </row>
    <row r="140" spans="1:6" x14ac:dyDescent="0.25">
      <c r="A140">
        <v>139</v>
      </c>
      <c r="B140">
        <v>6</v>
      </c>
      <c r="C140">
        <v>3</v>
      </c>
      <c r="D140">
        <v>4.8</v>
      </c>
      <c r="E140">
        <v>1.8</v>
      </c>
      <c r="F140" s="1" t="s">
        <v>8</v>
      </c>
    </row>
    <row r="141" spans="1:6" x14ac:dyDescent="0.25">
      <c r="A141">
        <v>140</v>
      </c>
      <c r="B141">
        <v>6.9</v>
      </c>
      <c r="C141">
        <v>3.1</v>
      </c>
      <c r="D141">
        <v>5.4</v>
      </c>
      <c r="E141">
        <v>2.1</v>
      </c>
      <c r="F141" s="1" t="s">
        <v>8</v>
      </c>
    </row>
    <row r="142" spans="1:6" x14ac:dyDescent="0.25">
      <c r="A142">
        <v>141</v>
      </c>
      <c r="B142">
        <v>6.7</v>
      </c>
      <c r="C142">
        <v>3.1</v>
      </c>
      <c r="D142">
        <v>5.6</v>
      </c>
      <c r="E142">
        <v>2.4</v>
      </c>
      <c r="F142" s="1" t="s">
        <v>8</v>
      </c>
    </row>
    <row r="143" spans="1:6" x14ac:dyDescent="0.25">
      <c r="A143">
        <v>142</v>
      </c>
      <c r="B143">
        <v>6.9</v>
      </c>
      <c r="C143">
        <v>3.1</v>
      </c>
      <c r="D143">
        <v>5.0999999999999996</v>
      </c>
      <c r="E143">
        <v>2.2999999999999998</v>
      </c>
      <c r="F143" s="1" t="s">
        <v>8</v>
      </c>
    </row>
    <row r="144" spans="1:6" x14ac:dyDescent="0.25">
      <c r="A144">
        <v>143</v>
      </c>
      <c r="B144">
        <v>5.8</v>
      </c>
      <c r="C144">
        <v>2.7</v>
      </c>
      <c r="D144">
        <v>5.0999999999999996</v>
      </c>
      <c r="E144">
        <v>1.9</v>
      </c>
      <c r="F144" s="1" t="s">
        <v>8</v>
      </c>
    </row>
    <row r="145" spans="1:6" x14ac:dyDescent="0.25">
      <c r="A145">
        <v>144</v>
      </c>
      <c r="B145">
        <v>6.8</v>
      </c>
      <c r="C145">
        <v>3.2</v>
      </c>
      <c r="D145">
        <v>5.9</v>
      </c>
      <c r="E145">
        <v>2.2999999999999998</v>
      </c>
      <c r="F145" s="1" t="s">
        <v>8</v>
      </c>
    </row>
    <row r="146" spans="1:6" x14ac:dyDescent="0.25">
      <c r="A146">
        <v>145</v>
      </c>
      <c r="B146">
        <v>6.7</v>
      </c>
      <c r="C146">
        <v>3.3</v>
      </c>
      <c r="D146">
        <v>5.7</v>
      </c>
      <c r="E146">
        <v>2.5</v>
      </c>
      <c r="F146" s="1" t="s">
        <v>8</v>
      </c>
    </row>
    <row r="147" spans="1:6" x14ac:dyDescent="0.25">
      <c r="A147">
        <v>146</v>
      </c>
      <c r="B147">
        <v>6.7</v>
      </c>
      <c r="C147">
        <v>3</v>
      </c>
      <c r="D147">
        <v>5.2</v>
      </c>
      <c r="E147">
        <v>2.2999999999999998</v>
      </c>
      <c r="F147" s="1" t="s">
        <v>8</v>
      </c>
    </row>
    <row r="148" spans="1:6" x14ac:dyDescent="0.25">
      <c r="A148">
        <v>147</v>
      </c>
      <c r="B148">
        <v>6.3</v>
      </c>
      <c r="C148">
        <v>2.5</v>
      </c>
      <c r="D148">
        <v>5</v>
      </c>
      <c r="E148">
        <v>1.9</v>
      </c>
      <c r="F148" s="1" t="s">
        <v>8</v>
      </c>
    </row>
    <row r="149" spans="1:6" x14ac:dyDescent="0.25">
      <c r="A149">
        <v>148</v>
      </c>
      <c r="B149">
        <v>6.5</v>
      </c>
      <c r="C149">
        <v>3</v>
      </c>
      <c r="D149">
        <v>5.2</v>
      </c>
      <c r="E149">
        <v>2</v>
      </c>
      <c r="F149" s="1" t="s">
        <v>8</v>
      </c>
    </row>
    <row r="150" spans="1:6" x14ac:dyDescent="0.25">
      <c r="A150">
        <v>149</v>
      </c>
      <c r="B150">
        <v>6.2</v>
      </c>
      <c r="C150">
        <v>3.4</v>
      </c>
      <c r="D150">
        <v>5.4</v>
      </c>
      <c r="E150">
        <v>2.2999999999999998</v>
      </c>
      <c r="F150" s="1" t="s">
        <v>8</v>
      </c>
    </row>
    <row r="151" spans="1:6" x14ac:dyDescent="0.25">
      <c r="A151">
        <v>150</v>
      </c>
      <c r="B151">
        <v>5.9</v>
      </c>
      <c r="C151">
        <v>3</v>
      </c>
      <c r="D151">
        <v>5.0999999999999996</v>
      </c>
      <c r="E151">
        <v>1.8</v>
      </c>
      <c r="F151"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8C9E2-EDDD-45CD-B182-D5B7208301F5}">
  <dimension ref="B2:E59"/>
  <sheetViews>
    <sheetView topLeftCell="A55" workbookViewId="0">
      <selection activeCell="D34" sqref="D34"/>
    </sheetView>
  </sheetViews>
  <sheetFormatPr baseColWidth="10" defaultRowHeight="15" x14ac:dyDescent="0.25"/>
  <sheetData>
    <row r="2" spans="2:5" x14ac:dyDescent="0.25">
      <c r="B2" s="16" t="s">
        <v>9</v>
      </c>
      <c r="C2" s="16"/>
      <c r="D2" s="16"/>
      <c r="E2" s="16"/>
    </row>
    <row r="4" spans="2:5" x14ac:dyDescent="0.25">
      <c r="D4" s="7" t="s">
        <v>2</v>
      </c>
    </row>
    <row r="5" spans="2:5" x14ac:dyDescent="0.25">
      <c r="C5" s="6" t="s">
        <v>10</v>
      </c>
      <c r="D5" s="3">
        <f>MIN(iris[Sepal.Length])</f>
        <v>4.3</v>
      </c>
    </row>
    <row r="6" spans="2:5" x14ac:dyDescent="0.25">
      <c r="C6" s="6" t="s">
        <v>11</v>
      </c>
      <c r="D6" s="3">
        <f>AVERAGE(iris[Sepal.Length])</f>
        <v>5.8433333333333346</v>
      </c>
    </row>
    <row r="7" spans="2:5" x14ac:dyDescent="0.25">
      <c r="C7" s="6" t="s">
        <v>12</v>
      </c>
      <c r="D7" s="3">
        <f>MEDIAN(iris[Sepal.Length])</f>
        <v>5.8</v>
      </c>
    </row>
    <row r="8" spans="2:5" x14ac:dyDescent="0.25">
      <c r="C8" s="6" t="s">
        <v>13</v>
      </c>
      <c r="D8" s="3">
        <f>_xlfn.MODE.SNGL(iris[Sepal.Length])</f>
        <v>5</v>
      </c>
    </row>
    <row r="9" spans="2:5" x14ac:dyDescent="0.25">
      <c r="C9" s="6" t="s">
        <v>14</v>
      </c>
      <c r="D9" s="3">
        <f>MAX(iris[Sepal.Length])</f>
        <v>7.9</v>
      </c>
    </row>
    <row r="10" spans="2:5" x14ac:dyDescent="0.25">
      <c r="C10" s="14" t="s">
        <v>15</v>
      </c>
      <c r="D10" s="17">
        <f>_xlfn.STDEV.S(iris[Sepal.Length])</f>
        <v>0.82806612797784351</v>
      </c>
    </row>
    <row r="11" spans="2:5" x14ac:dyDescent="0.25">
      <c r="C11" s="15"/>
      <c r="D11" s="18"/>
    </row>
    <row r="12" spans="2:5" x14ac:dyDescent="0.25">
      <c r="C12" s="6" t="s">
        <v>16</v>
      </c>
      <c r="D12" s="3">
        <f>_xlfn.QUARTILE.INC(iris[Sepal.Length],1)</f>
        <v>5.0999999999999996</v>
      </c>
    </row>
    <row r="13" spans="2:5" x14ac:dyDescent="0.25">
      <c r="C13" s="6" t="s">
        <v>17</v>
      </c>
      <c r="D13" s="3">
        <f>_xlfn.QUARTILE.INC(iris[Sepal.Length],2)</f>
        <v>5.8</v>
      </c>
    </row>
    <row r="14" spans="2:5" x14ac:dyDescent="0.25">
      <c r="C14" s="6" t="s">
        <v>18</v>
      </c>
      <c r="D14" s="3">
        <f>_xlfn.QUARTILE.INC(iris[Sepal.Length],3)</f>
        <v>6.4</v>
      </c>
    </row>
    <row r="17" spans="2:5" x14ac:dyDescent="0.25">
      <c r="B17" s="16" t="s">
        <v>9</v>
      </c>
      <c r="C17" s="16"/>
      <c r="D17" s="16"/>
      <c r="E17" s="16"/>
    </row>
    <row r="19" spans="2:5" x14ac:dyDescent="0.25">
      <c r="D19" s="7" t="s">
        <v>2</v>
      </c>
    </row>
    <row r="20" spans="2:5" x14ac:dyDescent="0.25">
      <c r="C20" s="6" t="s">
        <v>10</v>
      </c>
      <c r="D20" s="4">
        <f>MIN(iris[Sepal.Width])</f>
        <v>2</v>
      </c>
    </row>
    <row r="21" spans="2:5" x14ac:dyDescent="0.25">
      <c r="C21" s="6" t="s">
        <v>11</v>
      </c>
      <c r="D21" s="4">
        <f>AVERAGE(iris[Sepal.Width])</f>
        <v>3.0573333333333341</v>
      </c>
    </row>
    <row r="22" spans="2:5" x14ac:dyDescent="0.25">
      <c r="C22" s="6" t="s">
        <v>12</v>
      </c>
      <c r="D22" s="4">
        <f>MEDIAN(iris[Sepal.Width])</f>
        <v>3</v>
      </c>
    </row>
    <row r="23" spans="2:5" x14ac:dyDescent="0.25">
      <c r="C23" s="6" t="s">
        <v>13</v>
      </c>
      <c r="D23" s="4">
        <f>_xlfn.MODE.SNGL(iris[Sepal.Width])</f>
        <v>3</v>
      </c>
    </row>
    <row r="24" spans="2:5" x14ac:dyDescent="0.25">
      <c r="C24" s="6" t="s">
        <v>14</v>
      </c>
      <c r="D24" s="4">
        <f>MAX(iris[Sepal.Width])</f>
        <v>4.4000000000000004</v>
      </c>
    </row>
    <row r="25" spans="2:5" x14ac:dyDescent="0.25">
      <c r="C25" s="14" t="s">
        <v>15</v>
      </c>
      <c r="D25" s="19">
        <f>_xlfn.STDEV.S(iris[Sepal.Width])</f>
        <v>0.43586628493668389</v>
      </c>
    </row>
    <row r="26" spans="2:5" x14ac:dyDescent="0.25">
      <c r="C26" s="15"/>
      <c r="D26" s="20"/>
    </row>
    <row r="27" spans="2:5" x14ac:dyDescent="0.25">
      <c r="C27" s="6" t="s">
        <v>16</v>
      </c>
      <c r="D27" s="4">
        <f>_xlfn.QUARTILE.INC(iris[Sepal.Width],1)</f>
        <v>2.8</v>
      </c>
    </row>
    <row r="28" spans="2:5" x14ac:dyDescent="0.25">
      <c r="C28" s="6" t="s">
        <v>17</v>
      </c>
      <c r="D28" s="4">
        <f>_xlfn.QUARTILE.INC(iris[Sepal.Width],2)</f>
        <v>3</v>
      </c>
    </row>
    <row r="29" spans="2:5" x14ac:dyDescent="0.25">
      <c r="C29" s="6" t="s">
        <v>18</v>
      </c>
      <c r="D29" s="4">
        <f>_xlfn.QUARTILE.INC(iris[Sepal.Width],3)</f>
        <v>3.3</v>
      </c>
    </row>
    <row r="32" spans="2:5" x14ac:dyDescent="0.25">
      <c r="B32" s="16" t="s">
        <v>9</v>
      </c>
      <c r="C32" s="16"/>
      <c r="D32" s="16"/>
      <c r="E32" s="16"/>
    </row>
    <row r="34" spans="2:5" x14ac:dyDescent="0.25">
      <c r="D34" s="7" t="s">
        <v>3</v>
      </c>
    </row>
    <row r="35" spans="2:5" x14ac:dyDescent="0.25">
      <c r="C35" s="6" t="s">
        <v>10</v>
      </c>
      <c r="D35" s="5">
        <f>MIN(iris[Petal.Length])</f>
        <v>1</v>
      </c>
    </row>
    <row r="36" spans="2:5" x14ac:dyDescent="0.25">
      <c r="C36" s="6" t="s">
        <v>11</v>
      </c>
      <c r="D36" s="5">
        <f>AVERAGE(iris[Petal.Length])</f>
        <v>3.7580000000000027</v>
      </c>
    </row>
    <row r="37" spans="2:5" x14ac:dyDescent="0.25">
      <c r="C37" s="6" t="s">
        <v>12</v>
      </c>
      <c r="D37" s="5">
        <f>MEDIAN(iris[Petal.Length])</f>
        <v>4.3499999999999996</v>
      </c>
    </row>
    <row r="38" spans="2:5" x14ac:dyDescent="0.25">
      <c r="C38" s="6" t="s">
        <v>13</v>
      </c>
      <c r="D38" s="5">
        <f>_xlfn.MODE.SNGL(iris[Petal.Length])</f>
        <v>1.4</v>
      </c>
    </row>
    <row r="39" spans="2:5" ht="15" customHeight="1" x14ac:dyDescent="0.25">
      <c r="C39" s="6" t="s">
        <v>14</v>
      </c>
      <c r="D39" s="5">
        <f>MAX(iris[Petal.Length])</f>
        <v>6.9</v>
      </c>
    </row>
    <row r="40" spans="2:5" x14ac:dyDescent="0.25">
      <c r="C40" s="14" t="s">
        <v>15</v>
      </c>
      <c r="D40" s="12">
        <f>_xlfn.STDEV.S(iris[Petal.Length])</f>
        <v>1.7652982332594624</v>
      </c>
    </row>
    <row r="41" spans="2:5" x14ac:dyDescent="0.25">
      <c r="C41" s="15"/>
      <c r="D41" s="13"/>
    </row>
    <row r="42" spans="2:5" x14ac:dyDescent="0.25">
      <c r="C42" s="6" t="s">
        <v>16</v>
      </c>
      <c r="D42" s="5">
        <f>_xlfn.QUARTILE.INC(iris[Petal.Length],1)</f>
        <v>1.6</v>
      </c>
    </row>
    <row r="43" spans="2:5" x14ac:dyDescent="0.25">
      <c r="C43" s="6" t="s">
        <v>17</v>
      </c>
      <c r="D43" s="5">
        <f>_xlfn.QUARTILE.INC(iris[Petal.Length],2)</f>
        <v>4.3499999999999996</v>
      </c>
    </row>
    <row r="44" spans="2:5" x14ac:dyDescent="0.25">
      <c r="C44" s="6" t="s">
        <v>18</v>
      </c>
      <c r="D44" s="5">
        <f>_xlfn.QUARTILE.INC(iris[Petal.Length],3)</f>
        <v>5.0999999999999996</v>
      </c>
    </row>
    <row r="47" spans="2:5" x14ac:dyDescent="0.25">
      <c r="B47" s="16" t="s">
        <v>9</v>
      </c>
      <c r="C47" s="16"/>
      <c r="D47" s="16"/>
      <c r="E47" s="16"/>
    </row>
    <row r="49" spans="3:4" x14ac:dyDescent="0.25">
      <c r="D49" s="7" t="s">
        <v>4</v>
      </c>
    </row>
    <row r="50" spans="3:4" x14ac:dyDescent="0.25">
      <c r="C50" s="6" t="s">
        <v>10</v>
      </c>
      <c r="D50" s="5">
        <f>MIN(iris[Petal.Width])</f>
        <v>0.1</v>
      </c>
    </row>
    <row r="51" spans="3:4" x14ac:dyDescent="0.25">
      <c r="C51" s="6" t="s">
        <v>11</v>
      </c>
      <c r="D51" s="5">
        <f>AVERAGE(iris[Petal.Width])</f>
        <v>1.199333333333334</v>
      </c>
    </row>
    <row r="52" spans="3:4" x14ac:dyDescent="0.25">
      <c r="C52" s="6" t="s">
        <v>12</v>
      </c>
      <c r="D52" s="5">
        <f>MEDIAN(iris[Petal.Width])</f>
        <v>1.3</v>
      </c>
    </row>
    <row r="53" spans="3:4" x14ac:dyDescent="0.25">
      <c r="C53" s="6" t="s">
        <v>13</v>
      </c>
      <c r="D53" s="5">
        <f>_xlfn.MODE.SNGL(iris[Petal.Width])</f>
        <v>0.2</v>
      </c>
    </row>
    <row r="54" spans="3:4" x14ac:dyDescent="0.25">
      <c r="C54" s="6" t="s">
        <v>14</v>
      </c>
      <c r="D54" s="5">
        <f>MAX(iris[Petal.Width])</f>
        <v>2.5</v>
      </c>
    </row>
    <row r="55" spans="3:4" x14ac:dyDescent="0.25">
      <c r="C55" s="14" t="s">
        <v>15</v>
      </c>
      <c r="D55" s="12">
        <f>_xlfn.STDEV.S(iris[Petal.Width])</f>
        <v>0.76223766896034584</v>
      </c>
    </row>
    <row r="56" spans="3:4" x14ac:dyDescent="0.25">
      <c r="C56" s="15"/>
      <c r="D56" s="13"/>
    </row>
    <row r="57" spans="3:4" x14ac:dyDescent="0.25">
      <c r="C57" s="6" t="s">
        <v>16</v>
      </c>
      <c r="D57" s="5">
        <f>_xlfn.QUARTILE.INC(iris[Petal.Width],1)</f>
        <v>0.3</v>
      </c>
    </row>
    <row r="58" spans="3:4" x14ac:dyDescent="0.25">
      <c r="C58" s="6" t="s">
        <v>17</v>
      </c>
      <c r="D58" s="5">
        <f>_xlfn.QUARTILE.INC(iris[Petal.Width],2)</f>
        <v>1.3</v>
      </c>
    </row>
    <row r="59" spans="3:4" x14ac:dyDescent="0.25">
      <c r="C59" s="6" t="s">
        <v>18</v>
      </c>
      <c r="D59" s="5">
        <f>_xlfn.QUARTILE.INC(iris[Petal.Width],3)</f>
        <v>1.8</v>
      </c>
    </row>
  </sheetData>
  <mergeCells count="12">
    <mergeCell ref="B2:E2"/>
    <mergeCell ref="D10:D11"/>
    <mergeCell ref="C10:C11"/>
    <mergeCell ref="C25:C26"/>
    <mergeCell ref="D25:D26"/>
    <mergeCell ref="D40:D41"/>
    <mergeCell ref="C40:C41"/>
    <mergeCell ref="B32:E32"/>
    <mergeCell ref="B17:E17"/>
    <mergeCell ref="D55:D56"/>
    <mergeCell ref="C55:C56"/>
    <mergeCell ref="B47:E4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7ABF-FA6B-4C3F-B67D-40AA32EF7F01}">
  <dimension ref="A1:E5"/>
  <sheetViews>
    <sheetView tabSelected="1" topLeftCell="A2" workbookViewId="0">
      <selection activeCell="O30" sqref="O30"/>
    </sheetView>
  </sheetViews>
  <sheetFormatPr baseColWidth="10" defaultRowHeight="15" x14ac:dyDescent="0.25"/>
  <sheetData>
    <row r="1" spans="1:5" x14ac:dyDescent="0.25">
      <c r="A1" s="11"/>
      <c r="B1" s="11" t="s">
        <v>19</v>
      </c>
      <c r="C1" s="11" t="s">
        <v>20</v>
      </c>
      <c r="D1" s="11" t="s">
        <v>21</v>
      </c>
      <c r="E1" s="11" t="s">
        <v>22</v>
      </c>
    </row>
    <row r="2" spans="1:5" x14ac:dyDescent="0.25">
      <c r="A2" s="9" t="s">
        <v>19</v>
      </c>
      <c r="B2" s="9">
        <v>1</v>
      </c>
      <c r="C2" s="9"/>
      <c r="D2" s="9"/>
      <c r="E2" s="9"/>
    </row>
    <row r="3" spans="1:5" x14ac:dyDescent="0.25">
      <c r="A3" s="9" t="s">
        <v>20</v>
      </c>
      <c r="B3" s="9">
        <v>-0.11756978413300205</v>
      </c>
      <c r="C3" s="9">
        <v>1</v>
      </c>
      <c r="D3" s="9"/>
      <c r="E3" s="9"/>
    </row>
    <row r="4" spans="1:5" x14ac:dyDescent="0.25">
      <c r="A4" s="9" t="s">
        <v>21</v>
      </c>
      <c r="B4" s="9">
        <v>0.87175377588658276</v>
      </c>
      <c r="C4" s="9">
        <v>-0.42844010433054003</v>
      </c>
      <c r="D4" s="9">
        <v>1</v>
      </c>
      <c r="E4" s="9"/>
    </row>
    <row r="5" spans="1:5" ht="15.75" thickBot="1" x14ac:dyDescent="0.3">
      <c r="A5" s="10" t="s">
        <v>22</v>
      </c>
      <c r="B5" s="10">
        <v>0.81794112627157578</v>
      </c>
      <c r="C5" s="10">
        <v>-0.36612593253643949</v>
      </c>
      <c r="D5" s="10">
        <v>0.96286543140279557</v>
      </c>
      <c r="E5" s="10">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569B9E1D5CAE6438E07754F91D974FF" ma:contentTypeVersion="5" ma:contentTypeDescription="Crear nuevo documento." ma:contentTypeScope="" ma:versionID="535d7a5e48d70f251e0ca56b8e66b48d">
  <xsd:schema xmlns:xsd="http://www.w3.org/2001/XMLSchema" xmlns:xs="http://www.w3.org/2001/XMLSchema" xmlns:p="http://schemas.microsoft.com/office/2006/metadata/properties" xmlns:ns3="5423e2b4-37ab-4437-b999-bd72662b1d79" targetNamespace="http://schemas.microsoft.com/office/2006/metadata/properties" ma:root="true" ma:fieldsID="ae47ef9fda8f39d1b20fb53a045faee9" ns3:_="">
    <xsd:import namespace="5423e2b4-37ab-4437-b999-bd72662b1d7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23e2b4-37ab-4437-b999-bd72662b1d7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5423e2b4-37ab-4437-b999-bd72662b1d79"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79125F-C9FC-4750-A42A-2CF3213DFE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23e2b4-37ab-4437-b999-bd72662b1d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FBACC5-3BB0-456F-9FBF-A1B01F7F847C}">
  <ds:schemaRefs>
    <ds:schemaRef ds:uri="http://schemas.microsoft.com/DataMashup"/>
  </ds:schemaRefs>
</ds:datastoreItem>
</file>

<file path=customXml/itemProps3.xml><?xml version="1.0" encoding="utf-8"?>
<ds:datastoreItem xmlns:ds="http://schemas.openxmlformats.org/officeDocument/2006/customXml" ds:itemID="{1FB546F3-C06C-4307-A287-093247834772}">
  <ds:schemaRefs>
    <ds:schemaRef ds:uri="http://schemas.microsoft.com/office/2006/metadata/properties"/>
    <ds:schemaRef ds:uri="http://www.w3.org/XML/1998/namespace"/>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5423e2b4-37ab-4437-b999-bd72662b1d79"/>
    <ds:schemaRef ds:uri="http://purl.org/dc/terms/"/>
    <ds:schemaRef ds:uri="http://purl.org/dc/elements/1.1/"/>
  </ds:schemaRefs>
</ds:datastoreItem>
</file>

<file path=customXml/itemProps4.xml><?xml version="1.0" encoding="utf-8"?>
<ds:datastoreItem xmlns:ds="http://schemas.openxmlformats.org/officeDocument/2006/customXml" ds:itemID="{E0914631-40C7-484E-86F5-854048C168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iris</vt:lpstr>
      <vt:lpstr>Histogramas</vt:lpstr>
      <vt:lpstr>Cor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FELIPE VELASCO RUIZ</dc:creator>
  <cp:lastModifiedBy>ANDRES FELIPE VELASCO RUIZ</cp:lastModifiedBy>
  <dcterms:created xsi:type="dcterms:W3CDTF">2026-02-20T04:05:56Z</dcterms:created>
  <dcterms:modified xsi:type="dcterms:W3CDTF">2026-02-20T05:25:58Z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0x010100F569B9E1D5CAE6438E07754F91D974FF</vt:lpwstr>
  </property>
</Properties>
</file>